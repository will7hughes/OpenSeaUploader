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Willow\GoogleDrive\My Drive\DALL-E 2\Traits\"/>
    </mc:Choice>
  </mc:AlternateContent>
  <xr:revisionPtr revIDLastSave="0" documentId="13_ncr:1_{950D747D-AEBD-4BCF-8D2E-EA876014CF7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List" sheetId="1" r:id="rId1"/>
    <sheet name="Rarity" sheetId="2" r:id="rId2"/>
    <sheet name="Formulas" sheetId="4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37" i="2" l="1"/>
  <c r="P37" i="2"/>
  <c r="M37" i="2"/>
  <c r="J37" i="2"/>
  <c r="G37" i="2"/>
  <c r="D37" i="2"/>
  <c r="S38" i="2"/>
  <c r="P38" i="2"/>
  <c r="M38" i="2"/>
  <c r="J38" i="2"/>
  <c r="G38" i="2"/>
  <c r="D38" i="2"/>
  <c r="S39" i="2"/>
  <c r="P39" i="2"/>
  <c r="M39" i="2"/>
  <c r="J39" i="2"/>
  <c r="G39" i="2"/>
  <c r="D39" i="2"/>
  <c r="S36" i="2"/>
  <c r="P36" i="2"/>
  <c r="M36" i="2"/>
  <c r="J36" i="2"/>
  <c r="G36" i="2"/>
  <c r="D36" i="2"/>
  <c r="U34" i="2"/>
  <c r="R34" i="2"/>
  <c r="O34" i="2"/>
  <c r="L34" i="2"/>
  <c r="I34" i="2"/>
  <c r="F34" i="2"/>
  <c r="X32" i="2"/>
  <c r="S32" i="2"/>
  <c r="P32" i="2"/>
  <c r="M32" i="2"/>
  <c r="J32" i="2"/>
  <c r="G32" i="2"/>
  <c r="D3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S2" i="2"/>
  <c r="P2" i="2"/>
  <c r="M2" i="2"/>
  <c r="J2" i="2"/>
  <c r="G2" i="2"/>
  <c r="D2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B8" i="2"/>
  <c r="A8" i="2" s="1"/>
  <c r="B9" i="2"/>
  <c r="A9" i="2" s="1"/>
  <c r="B10" i="2"/>
  <c r="A10" i="2" s="1"/>
  <c r="B11" i="2"/>
  <c r="A11" i="2" s="1"/>
  <c r="B12" i="2"/>
  <c r="A12" i="2" s="1"/>
  <c r="B13" i="2"/>
  <c r="A13" i="2" s="1"/>
  <c r="B14" i="2"/>
  <c r="A14" i="2" s="1"/>
  <c r="B15" i="2"/>
  <c r="A15" i="2" s="1"/>
  <c r="B16" i="2"/>
  <c r="A16" i="2" s="1"/>
  <c r="B17" i="2"/>
  <c r="A17" i="2" s="1"/>
  <c r="B18" i="2"/>
  <c r="A18" i="2" s="1"/>
  <c r="B19" i="2"/>
  <c r="A19" i="2" s="1"/>
  <c r="B20" i="2"/>
  <c r="A20" i="2" s="1"/>
  <c r="B21" i="2"/>
  <c r="A21" i="2" s="1"/>
  <c r="B22" i="2"/>
  <c r="A22" i="2" s="1"/>
  <c r="B23" i="2"/>
  <c r="A23" i="2" s="1"/>
  <c r="B24" i="2"/>
  <c r="A24" i="2" s="1"/>
  <c r="B25" i="2"/>
  <c r="A25" i="2" s="1"/>
  <c r="B26" i="2"/>
  <c r="A26" i="2" s="1"/>
  <c r="B27" i="2"/>
  <c r="A27" i="2" s="1"/>
  <c r="B28" i="2"/>
  <c r="A28" i="2" s="1"/>
  <c r="B29" i="2"/>
  <c r="A29" i="2" s="1"/>
  <c r="B30" i="2"/>
  <c r="A30" i="2" s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C1" i="2" a="1"/>
  <c r="U1" i="2" a="1"/>
  <c r="U1" i="2" s="1"/>
  <c r="R1" i="2" a="1"/>
  <c r="R1" i="2" s="1"/>
  <c r="O1" i="2" a="1"/>
  <c r="O1" i="2" s="1"/>
  <c r="L1" i="2" a="1"/>
  <c r="L1" i="2" s="1"/>
  <c r="I1" i="2" a="1"/>
  <c r="I1" i="2" s="1"/>
  <c r="F1" i="2" a="1"/>
  <c r="F1" i="2" s="1"/>
  <c r="B2" i="4" a="1"/>
  <c r="B2" i="4" s="1"/>
  <c r="D2" i="4" a="1"/>
  <c r="D2" i="4" s="1"/>
  <c r="F2" i="4" a="1"/>
  <c r="F2" i="4" s="1"/>
  <c r="B3" i="1"/>
  <c r="B4" i="1"/>
  <c r="B5" i="1"/>
  <c r="B6" i="1"/>
  <c r="B7" i="1"/>
  <c r="B8" i="1"/>
  <c r="B9" i="1"/>
  <c r="C1" i="2" l="1"/>
  <c r="C34" i="2" s="1"/>
  <c r="B7" i="2"/>
  <c r="A7" i="2" s="1"/>
  <c r="B6" i="2"/>
  <c r="A6" i="2" s="1"/>
  <c r="B5" i="2"/>
  <c r="A5" i="2" s="1"/>
  <c r="B4" i="2"/>
  <c r="A4" i="2" s="1"/>
  <c r="B3" i="2"/>
  <c r="A3" i="2" s="1"/>
  <c r="E3" i="2"/>
  <c r="K7" i="2"/>
  <c r="K6" i="2"/>
  <c r="K5" i="2"/>
  <c r="N8" i="2"/>
  <c r="K3" i="2"/>
  <c r="N7" i="2"/>
  <c r="N6" i="2"/>
  <c r="N5" i="2"/>
  <c r="Q9" i="2"/>
  <c r="N4" i="2"/>
  <c r="Q8" i="2"/>
  <c r="H2" i="2"/>
  <c r="N3" i="2"/>
  <c r="Q7" i="2"/>
  <c r="Q6" i="2"/>
  <c r="H3" i="2"/>
  <c r="Q5" i="2"/>
  <c r="Q4" i="2"/>
  <c r="B2" i="2"/>
  <c r="A2" i="2" s="1"/>
  <c r="Q3" i="2"/>
  <c r="K2" i="2"/>
  <c r="E2" i="2"/>
  <c r="N2" i="2"/>
  <c r="Q2" i="2"/>
  <c r="K4" i="2"/>
  <c r="T2" i="2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2" i="1"/>
  <c r="A36" i="2" l="1"/>
  <c r="X2" i="2"/>
  <c r="A37" i="2"/>
  <c r="A38" i="2"/>
  <c r="A39" i="2"/>
  <c r="A32" i="2"/>
  <c r="V32" i="2" s="1"/>
  <c r="A34" i="2" s="1"/>
  <c r="M34" i="2" l="1"/>
  <c r="D34" i="2"/>
  <c r="J34" i="2"/>
  <c r="G34" i="2"/>
  <c r="S34" i="2"/>
  <c r="P34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<sst xmlns="http://schemas.openxmlformats.org/spreadsheetml/2006/main" count="140" uniqueCount="94">
  <si>
    <t>Image Link</t>
  </si>
  <si>
    <t>Suggested Name</t>
  </si>
  <si>
    <t>Name</t>
  </si>
  <si>
    <t>Color</t>
  </si>
  <si>
    <t>Form</t>
  </si>
  <si>
    <t>Style</t>
  </si>
  <si>
    <t>Action</t>
  </si>
  <si>
    <t>Emotion</t>
  </si>
  <si>
    <t>Adornment</t>
  </si>
  <si>
    <t>Gear</t>
  </si>
  <si>
    <t>Rank</t>
  </si>
  <si>
    <t>https://drive.google.com/file/d/1lNs0lGM6GI-yluGPbQ_xEn-q7JVAVQ35/view?usp=sharing</t>
  </si>
  <si>
    <t>Neon Cyberpunk Tattooed Broken Angel</t>
  </si>
  <si>
    <t>Neon Pink</t>
  </si>
  <si>
    <t>Angel</t>
  </si>
  <si>
    <t>Cyberpunk</t>
  </si>
  <si>
    <t>Leaning</t>
  </si>
  <si>
    <t>Somber</t>
  </si>
  <si>
    <t>Neon Scarf</t>
  </si>
  <si>
    <t>Wings</t>
  </si>
  <si>
    <t>https://drive.google.com/file/d/1lOzGxA8_uTcIHsPBmpmKGzXhghsfQ8ix/view?usp=sharing</t>
  </si>
  <si>
    <t>Neon Cyberpunk Pharaoh Broken Angel</t>
  </si>
  <si>
    <t>Neon Blue</t>
  </si>
  <si>
    <t>Digital Art</t>
  </si>
  <si>
    <t>Standing</t>
  </si>
  <si>
    <t>Firm</t>
  </si>
  <si>
    <t>Pharaoh Headdress</t>
  </si>
  <si>
    <t>https://drive.google.com/file/d/1lSRlEv1oI9fL1MISJluMWzuGHrag1miM/view?usp=sharing</t>
  </si>
  <si>
    <t>Neon Cyberpunk Dancing Boho Angel</t>
  </si>
  <si>
    <t>Dancing</t>
  </si>
  <si>
    <t>Euphoric</t>
  </si>
  <si>
    <t>Harem Pants</t>
  </si>
  <si>
    <t>https://drive.google.com/file/d/1lTPdz4yp41nbZCJiyKBEmbcPTbezelQb/view?usp=sharing</t>
  </si>
  <si>
    <t>Neon Cyberpunk Pilot Angel</t>
  </si>
  <si>
    <t>Sitting</t>
  </si>
  <si>
    <t>Bleak</t>
  </si>
  <si>
    <t>Pilot Helmet</t>
  </si>
  <si>
    <t>https://drive.google.com/file/d/1lV6EPj9NuFeeOW5puvWt7-jmJTIH35ZO/view?usp=sharing</t>
  </si>
  <si>
    <t>Cyberpunk Kneeling Pilot Commander Angel</t>
  </si>
  <si>
    <t>White</t>
  </si>
  <si>
    <t>Seiza</t>
  </si>
  <si>
    <t>Innocent</t>
  </si>
  <si>
    <t>Torn Grecian Dress</t>
  </si>
  <si>
    <t>https://drive.google.com/file/d/1lWWGRH73BfB8SkemxwY_JdME6-1KpOC_/view?usp=sharing</t>
  </si>
  <si>
    <t>Cyberpunk Stark Queen Angel</t>
  </si>
  <si>
    <t>Bronze</t>
  </si>
  <si>
    <t>Dominant</t>
  </si>
  <si>
    <t>Crown</t>
  </si>
  <si>
    <t>https://drive.google.com/file/d/1lXSd45wu0HnYtbxv-8NyywZ1Qm1IuDaT/view?usp=sharing</t>
  </si>
  <si>
    <t>Neon Cyberpunk Lonely Angel</t>
  </si>
  <si>
    <t>Empty</t>
  </si>
  <si>
    <t>Turban</t>
  </si>
  <si>
    <t>https://drive.google.com/file/d/1loutgyvZXvWWy3yJ2bYK49aqkClsKdno/view?usp=sharing</t>
  </si>
  <si>
    <t>Cyberpunk Posing Android Sentry Angel</t>
  </si>
  <si>
    <t>Black</t>
  </si>
  <si>
    <t>Android</t>
  </si>
  <si>
    <t>Posing</t>
  </si>
  <si>
    <t>Silver Plated Armour</t>
  </si>
  <si>
    <t>description</t>
  </si>
  <si>
    <t>Unique Filter</t>
  </si>
  <si>
    <t>Bold</t>
  </si>
  <si>
    <t>Bland</t>
  </si>
  <si>
    <t>Header</t>
  </si>
  <si>
    <t>Green</t>
  </si>
  <si>
    <t>Cool</t>
  </si>
  <si>
    <t>Yellow</t>
  </si>
  <si>
    <t>Red</t>
  </si>
  <si>
    <t>Donkey</t>
  </si>
  <si>
    <t>Ape</t>
  </si>
  <si>
    <t>Dog</t>
  </si>
  <si>
    <t>Unique Filter Column</t>
  </si>
  <si>
    <t>Unique</t>
  </si>
  <si>
    <t>Collection</t>
  </si>
  <si>
    <t>Price</t>
  </si>
  <si>
    <t>Shattered angel on top of a neon pyramid. A cyberpunk representation of a broken angel.</t>
  </si>
  <si>
    <t>Broken angel in front of a neon pyramid. A Cyberpunk representation of an angel in front of a neon blue and pink pyramid.</t>
  </si>
  <si>
    <t>Edition</t>
  </si>
  <si>
    <t>Collection Size</t>
  </si>
  <si>
    <t>Completion</t>
  </si>
  <si>
    <t>Total Rarity For Trait Category</t>
  </si>
  <si>
    <t>Rank Totals</t>
  </si>
  <si>
    <t>Total Rank Score</t>
  </si>
  <si>
    <t>Rarity Legend</t>
  </si>
  <si>
    <t>Legendary</t>
  </si>
  <si>
    <t>Special</t>
  </si>
  <si>
    <t>Regular</t>
  </si>
  <si>
    <t>Current Rarity</t>
  </si>
  <si>
    <t>Common</t>
  </si>
  <si>
    <t>Dancing angel performing on top of a neon pink Greek pillar. Cyberpunk art of euphoric angel wearing harem pants.</t>
  </si>
  <si>
    <t>Neon blue sad angel sitting on a neon sky blue pyramid. Cyberpunk art of a veteren angel pilot.</t>
  </si>
  <si>
    <t>Innocent angel princess wearing a torn Grecian dress sitting on top of a Greek pillar. Cyberpunk illustration of a high ranking angel.</t>
  </si>
  <si>
    <t>Queen angel sitting on her thrown looking out to her followers with disgust. A Cyberpunk illustration of angel queen with tattoos on her arms.</t>
  </si>
  <si>
    <t>Broken angel in front of a neon pyramid. A Cyberpunk representation of an angel in front of a neon pink pyramid.</t>
  </si>
  <si>
    <t>Android angel posing in front of a distopian pyramid. A Cyberpunk illustration of an autonomous angel sentry wearing silver plated armour.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</si>
</sst>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u/>
      <sz val="11"/>
      <color rgb="FF0000FF"/>
      <name val="Calibri"/>
    </font>
    <font>
      <u/>
      <sz val="11"/>
      <color rgb="FF0000FF"/>
      <name val="Calibri"/>
    </font>
    <font>
      <sz val="11"/>
      <color theme="1"/>
      <name val="Calibri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9" tint="0.7999816888943144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EFEFEF"/>
        <bgColor rgb="FFEFEFEF"/>
      </patternFill>
    </fill>
    <fill>
      <patternFill patternType="solid">
        <fgColor rgb="FFCFE2F3"/>
        <bgColor rgb="FFCFE2F3"/>
      </patternFill>
    </fill>
    <fill>
      <patternFill patternType="solid">
        <fgColor rgb="FF9CBAFF"/>
        <bgColor rgb="FF9CBAFF"/>
      </patternFill>
    </fill>
    <fill>
      <patternFill patternType="solid">
        <fgColor rgb="FFFCE5CD"/>
        <bgColor rgb="FFFCE5CD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6600CC"/>
        <bgColor indexed="64"/>
      </patternFill>
    </fill>
    <fill>
      <patternFill patternType="solid">
        <fgColor rgb="FFB3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FF"/>
        <bgColor indexed="64"/>
      </patternFill>
    </fill>
  </fills>
  <borders count="9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/>
      <right style="thin">
        <color theme="2" tint="-0.14996795556505021"/>
      </right>
      <top/>
      <bottom style="thin">
        <color theme="2" tint="-0.14996795556505021"/>
      </bottom>
      <diagonal/>
    </border>
    <border>
      <left/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</borders>
  <cellStyleXfs count="7">
    <xf numFmtId="0" fontId="0" fillId="0" borderId="0"/>
    <xf numFmtId="0" fontId="6" fillId="0" borderId="2" applyNumberFormat="0" applyFill="0" applyAlignment="0" applyProtection="0"/>
    <xf numFmtId="0" fontId="7" fillId="6" borderId="0" applyNumberFormat="0" applyBorder="0" applyAlignment="0" applyProtection="0"/>
    <xf numFmtId="0" fontId="8" fillId="7" borderId="4" applyNumberFormat="0" applyAlignment="0" applyProtection="0"/>
    <xf numFmtId="0" fontId="9" fillId="7" borderId="3" applyNumberFormat="0" applyAlignment="0" applyProtection="0"/>
    <xf numFmtId="0" fontId="10" fillId="0" borderId="0" applyNumberFormat="0" applyFill="0" applyBorder="0" applyAlignment="0" applyProtection="0"/>
    <xf numFmtId="0" fontId="1" fillId="8" borderId="0" applyNumberFormat="0" applyBorder="0" applyAlignment="0" applyProtection="0"/>
  </cellStyleXfs>
  <cellXfs count="57">
    <xf numFmtId="0" fontId="0" fillId="0" borderId="0" xfId="0" applyFont="1" applyAlignment="1"/>
    <xf numFmtId="0" fontId="0" fillId="0" borderId="1" xfId="0" applyBorder="1"/>
    <xf numFmtId="0" fontId="0" fillId="9" borderId="1" xfId="0" applyFill="1" applyBorder="1"/>
    <xf numFmtId="0" fontId="0" fillId="10" borderId="0" xfId="0" applyFont="1" applyFill="1" applyAlignment="1"/>
    <xf numFmtId="0" fontId="0" fillId="9" borderId="0" xfId="0" applyFont="1" applyFill="1" applyAlignment="1"/>
    <xf numFmtId="0" fontId="1" fillId="8" borderId="0" xfId="6" applyAlignment="1">
      <alignment horizontal="center"/>
    </xf>
    <xf numFmtId="0" fontId="0" fillId="9" borderId="0" xfId="0" applyFont="1" applyFill="1" applyAlignment="1">
      <alignment horizontal="center"/>
    </xf>
    <xf numFmtId="0" fontId="0" fillId="10" borderId="0" xfId="0" applyFont="1" applyFill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1" borderId="0" xfId="0" applyFont="1" applyFill="1" applyAlignment="1"/>
    <xf numFmtId="0" fontId="0" fillId="11" borderId="1" xfId="0" applyFill="1" applyBorder="1"/>
    <xf numFmtId="0" fontId="0" fillId="0" borderId="5" xfId="0" applyFont="1" applyBorder="1" applyAlignment="1"/>
    <xf numFmtId="0" fontId="2" fillId="0" borderId="6" xfId="0" applyFont="1" applyBorder="1"/>
    <xf numFmtId="0" fontId="0" fillId="0" borderId="6" xfId="0" applyFont="1" applyBorder="1" applyAlignment="1"/>
    <xf numFmtId="0" fontId="2" fillId="0" borderId="7" xfId="0" applyFont="1" applyBorder="1" applyAlignment="1">
      <alignment horizontal="center"/>
    </xf>
    <xf numFmtId="0" fontId="2" fillId="2" borderId="5" xfId="0" applyFont="1" applyFill="1" applyBorder="1"/>
    <xf numFmtId="0" fontId="2" fillId="4" borderId="5" xfId="0" applyFont="1" applyFill="1" applyBorder="1"/>
    <xf numFmtId="0" fontId="2" fillId="5" borderId="5" xfId="0" applyFont="1" applyFill="1" applyBorder="1"/>
    <xf numFmtId="0" fontId="3" fillId="0" borderId="8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5" fillId="0" borderId="6" xfId="0" applyFont="1" applyBorder="1"/>
    <xf numFmtId="0" fontId="0" fillId="0" borderId="8" xfId="0" applyFont="1" applyBorder="1" applyAlignment="1"/>
    <xf numFmtId="0" fontId="0" fillId="0" borderId="6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7" fillId="6" borderId="1" xfId="2" applyBorder="1"/>
    <xf numFmtId="0" fontId="1" fillId="9" borderId="5" xfId="0" applyFont="1" applyFill="1" applyBorder="1" applyAlignment="1">
      <alignment horizontal="center"/>
    </xf>
    <xf numFmtId="0" fontId="12" fillId="12" borderId="1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0" fillId="0" borderId="1" xfId="0" applyBorder="1" applyAlignment="1"/>
    <xf numFmtId="0" fontId="6" fillId="9" borderId="2" xfId="1" applyFill="1"/>
    <xf numFmtId="0" fontId="6" fillId="0" borderId="2" xfId="1"/>
    <xf numFmtId="0" fontId="7" fillId="6" borderId="2" xfId="2" applyBorder="1"/>
    <xf numFmtId="0" fontId="7" fillId="6" borderId="1" xfId="2" applyBorder="1" applyAlignment="1">
      <alignment horizontal="right"/>
    </xf>
    <xf numFmtId="10" fontId="0" fillId="0" borderId="1" xfId="0" applyNumberFormat="1" applyBorder="1"/>
    <xf numFmtId="10" fontId="7" fillId="6" borderId="1" xfId="2" applyNumberFormat="1" applyBorder="1"/>
    <xf numFmtId="0" fontId="1" fillId="0" borderId="1" xfId="0" applyFont="1" applyBorder="1" applyAlignment="1">
      <alignment horizontal="right"/>
    </xf>
    <xf numFmtId="0" fontId="8" fillId="7" borderId="4" xfId="3" applyAlignment="1">
      <alignment horizontal="center"/>
    </xf>
    <xf numFmtId="0" fontId="10" fillId="0" borderId="1" xfId="5" applyBorder="1" applyAlignment="1">
      <alignment horizontal="center"/>
    </xf>
    <xf numFmtId="9" fontId="11" fillId="13" borderId="1" xfId="0" applyNumberFormat="1" applyFont="1" applyFill="1" applyBorder="1" applyAlignment="1">
      <alignment horizontal="right"/>
    </xf>
    <xf numFmtId="9" fontId="1" fillId="15" borderId="1" xfId="0" applyNumberFormat="1" applyFont="1" applyFill="1" applyBorder="1" applyAlignment="1">
      <alignment horizontal="right"/>
    </xf>
    <xf numFmtId="9" fontId="1" fillId="16" borderId="1" xfId="0" applyNumberFormat="1" applyFont="1" applyFill="1" applyBorder="1" applyAlignment="1">
      <alignment horizontal="right"/>
    </xf>
    <xf numFmtId="9" fontId="1" fillId="14" borderId="1" xfId="0" applyNumberFormat="1" applyFont="1" applyFill="1" applyBorder="1" applyAlignment="1">
      <alignment horizontal="right"/>
    </xf>
    <xf numFmtId="0" fontId="9" fillId="7" borderId="1" xfId="4" applyBorder="1" applyAlignment="1">
      <alignment horizontal="center"/>
    </xf>
    <xf numFmtId="0" fontId="11" fillId="13" borderId="1" xfId="0" applyFont="1" applyFill="1" applyBorder="1"/>
    <xf numFmtId="0" fontId="1" fillId="15" borderId="1" xfId="0" applyFont="1" applyFill="1" applyBorder="1"/>
    <xf numFmtId="0" fontId="1" fillId="16" borderId="1" xfId="0" applyFont="1" applyFill="1" applyBorder="1"/>
    <xf numFmtId="0" fontId="1" fillId="14" borderId="1" xfId="0" applyFont="1" applyFill="1" applyBorder="1"/>
    <xf numFmtId="0" fontId="9" fillId="7" borderId="1" xfId="4" applyBorder="1" applyAlignment="1">
      <alignment horizontal="right"/>
    </xf>
    <xf numFmtId="0" fontId="0" fillId="15" borderId="1" xfId="0" applyFill="1" applyBorder="1"/>
    <xf numFmtId="0" fontId="0" fillId="16" borderId="1" xfId="0" applyFill="1" applyBorder="1"/>
    <xf numFmtId="0" fontId="0" fillId="14" borderId="1" xfId="0" applyFill="1" applyBorder="1"/>
    <xf numFmtId="0" fontId="1" fillId="0" borderId="6" xfId="0" applyFont="1" applyBorder="1"/>
    <xf numFmtId="0" fontId="1" fillId="0" borderId="6" xfId="0" applyFont="1" applyBorder="1" applyAlignment="1"/>
    <xf numFmtId="0" fontId="2" fillId="3" borderId="5" xfId="0" applyFont="1" applyFill="1" applyBorder="1" applyProtection="1">
      <protection locked="0"/>
    </xf>
    <xf numFmtId="0" fontId="2" fillId="0" borderId="6" xfId="0" applyFont="1" applyBorder="1" applyProtection="1">
      <protection locked="0"/>
    </xf>
    <xf numFmtId="0" fontId="0" fillId="0" borderId="6" xfId="0" applyFont="1" applyBorder="1" applyAlignment="1" applyProtection="1">
      <protection locked="0"/>
    </xf>
    <xf numFmtId="0" fontId="0" fillId="0" borderId="8" xfId="0" applyFont="1" applyBorder="1" applyAlignment="1" applyProtection="1">
      <protection locked="0"/>
    </xf>
  </cellXfs>
  <cellStyles count="7">
    <cellStyle name="20% - Accent1" xfId="6" builtinId="30"/>
    <cellStyle name="Calculation" xfId="4" builtinId="22"/>
    <cellStyle name="Explanatory Text" xfId="5" builtinId="53"/>
    <cellStyle name="Good" xfId="2" builtinId="26"/>
    <cellStyle name="Heading 3" xfId="1" builtinId="18"/>
    <cellStyle name="Normal" xfId="0" builtinId="0"/>
    <cellStyle name="Output" xfId="3" builtinId="21"/>
  </cellStyles>
  <dxfs count="8">
    <dxf>
      <fill>
        <patternFill>
          <bgColor rgb="FFFFFF00"/>
        </patternFill>
      </fill>
    </dxf>
    <dxf>
      <fill>
        <patternFill>
          <bgColor rgb="FF66CCFF"/>
        </patternFill>
      </fill>
    </dxf>
    <dxf>
      <fill>
        <patternFill>
          <bgColor rgb="FFB3FFCC"/>
        </patternFill>
      </fill>
    </dxf>
    <dxf>
      <font>
        <color theme="0"/>
      </font>
      <fill>
        <patternFill>
          <bgColor rgb="FF6600CC"/>
        </patternFill>
      </fill>
    </dxf>
    <dxf>
      <font>
        <color auto="1"/>
      </font>
      <fill>
        <patternFill>
          <bgColor rgb="FFABFFC7"/>
        </patternFill>
      </fill>
    </dxf>
    <dxf>
      <font>
        <color theme="1"/>
      </font>
      <fill>
        <patternFill>
          <bgColor rgb="FFCCFFFF"/>
        </patternFill>
      </fill>
    </dxf>
    <dxf>
      <font>
        <color theme="0"/>
      </font>
      <fill>
        <patternFill>
          <bgColor rgb="FF6600CC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B3FFCC"/>
      <color rgb="FFCCFFFF"/>
      <color rgb="FFFFFF99"/>
      <color rgb="FF6600CC"/>
      <color rgb="FFABFFC7"/>
      <color rgb="FF66FF99"/>
      <color rgb="FFFFFF00"/>
      <color rgb="FF66FFFF"/>
      <color rgb="FF66CCFF"/>
      <color rgb="FF75D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file/d/1loutgyvZXvWWy3yJ2bYK49aqkClsKdno/view?usp=sharing" TargetMode="External"/><Relationship Id="rId3" Type="http://schemas.openxmlformats.org/officeDocument/2006/relationships/hyperlink" Target="https://drive.google.com/file/d/1lSRlEv1oI9fL1MISJluMWzuGHrag1miM/view?usp=sharing" TargetMode="External"/><Relationship Id="rId7" Type="http://schemas.openxmlformats.org/officeDocument/2006/relationships/hyperlink" Target="https://drive.google.com/file/d/1lXSd45wu0HnYtbxv-8NyywZ1Qm1IuDaT/view?usp=sharing" TargetMode="External"/><Relationship Id="rId2" Type="http://schemas.openxmlformats.org/officeDocument/2006/relationships/hyperlink" Target="https://drive.google.com/file/d/1lOzGxA8_uTcIHsPBmpmKGzXhghsfQ8ix/view?usp=sharing" TargetMode="External"/><Relationship Id="rId1" Type="http://schemas.openxmlformats.org/officeDocument/2006/relationships/hyperlink" Target="https://drive.google.com/file/d/1lNs0lGM6GI-yluGPbQ_xEn-q7JVAVQ35/view?usp=sharing" TargetMode="External"/><Relationship Id="rId6" Type="http://schemas.openxmlformats.org/officeDocument/2006/relationships/hyperlink" Target="https://drive.google.com/file/d/1lWWGRH73BfB8SkemxwY_JdME6-1KpOC_/view?usp=sharing" TargetMode="External"/><Relationship Id="rId5" Type="http://schemas.openxmlformats.org/officeDocument/2006/relationships/hyperlink" Target="https://drive.google.com/file/d/1lV6EPj9NuFeeOW5puvWt7-jmJTIH35ZO/view?usp=sharing" TargetMode="External"/><Relationship Id="rId4" Type="http://schemas.openxmlformats.org/officeDocument/2006/relationships/hyperlink" Target="https://drive.google.com/file/d/1lTPdz4yp41nbZCJiyKBEmbcPTbezelQb/view?usp=sharing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0.79998168889431442"/>
  </sheetPr>
  <dimension ref="A1:AB1000"/>
  <sheetViews>
    <sheetView tabSelected="1" workbookViewId="0">
      <pane xSplit="2" topLeftCell="C1" activePane="topRight" state="frozen"/>
      <selection pane="topRight" activeCell="D12" sqref="D12"/>
    </sheetView>
  </sheetViews>
  <sheetFormatPr defaultColWidth="14.42578125" defaultRowHeight="15" customHeight="1" x14ac:dyDescent="0.25"/>
  <cols>
    <col min="1" max="1" width="18.85546875" style="21" customWidth="1"/>
    <col min="2" max="2" width="48.42578125" style="13" customWidth="1"/>
    <col min="3" max="3" width="49.28515625" style="55" customWidth="1"/>
    <col min="4" max="4" width="18.85546875" style="13" customWidth="1"/>
    <col min="5" max="5" width="16.28515625" style="13" customWidth="1"/>
    <col min="6" max="6" width="18.5703125" style="13" customWidth="1"/>
    <col min="7" max="7" width="22.140625" style="13" customWidth="1"/>
    <col min="8" max="8" width="23.42578125" style="13" customWidth="1"/>
    <col min="9" max="9" width="32.140625" style="13" customWidth="1"/>
    <col min="10" max="10" width="20.28515625" style="13" customWidth="1"/>
    <col min="11" max="11" width="8.7109375" style="13" customWidth="1"/>
    <col min="12" max="14" width="12.7109375" style="22" customWidth="1"/>
    <col min="15" max="15" width="84.5703125" style="13" customWidth="1"/>
    <col min="16" max="17" width="17.140625" style="13" customWidth="1"/>
    <col min="18" max="19" width="17.7109375" style="13" customWidth="1"/>
    <col min="20" max="21" width="16.85546875" style="13" customWidth="1"/>
    <col min="22" max="23" width="15.7109375" style="13" customWidth="1"/>
    <col min="24" max="25" width="18.7109375" style="13" customWidth="1"/>
    <col min="26" max="26" width="20" style="13" customWidth="1"/>
    <col min="27" max="27" width="8.7109375" style="13" customWidth="1"/>
    <col min="28" max="28" width="21.42578125" style="13" customWidth="1"/>
    <col min="29" max="16384" width="14.42578125" style="13"/>
  </cols>
  <sheetData>
    <row r="1" spans="1:28" s="11" customFormat="1" x14ac:dyDescent="0.25">
      <c r="A1" s="14" t="s">
        <v>0</v>
      </c>
      <c r="B1" s="15" t="s">
        <v>1</v>
      </c>
      <c r="C1" s="53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7" t="s">
        <v>10</v>
      </c>
      <c r="L1" s="25" t="s">
        <v>72</v>
      </c>
      <c r="M1" s="27" t="s">
        <v>76</v>
      </c>
      <c r="N1" s="26" t="s">
        <v>73</v>
      </c>
      <c r="O1" s="24" t="s">
        <v>58</v>
      </c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x14ac:dyDescent="0.25">
      <c r="A2" s="18" t="s">
        <v>11</v>
      </c>
      <c r="B2" s="12" t="str">
        <f t="shared" ref="B2:B200" si="0">CONCATENATE(D2, " ",F2, " ", G2, " ", H2, " ", E2)</f>
        <v>Neon Pink Cyberpunk Leaning Somber Angel</v>
      </c>
      <c r="C2" s="54" t="s">
        <v>12</v>
      </c>
      <c r="D2" s="12" t="s">
        <v>13</v>
      </c>
      <c r="E2" s="12" t="s">
        <v>14</v>
      </c>
      <c r="F2" s="12" t="s">
        <v>15</v>
      </c>
      <c r="G2" s="12" t="s">
        <v>16</v>
      </c>
      <c r="H2" s="12" t="s">
        <v>17</v>
      </c>
      <c r="I2" s="12" t="s">
        <v>18</v>
      </c>
      <c r="J2" s="12" t="s">
        <v>19</v>
      </c>
      <c r="K2" s="13">
        <v>7</v>
      </c>
      <c r="L2" s="22">
        <v>1</v>
      </c>
      <c r="M2" s="22">
        <v>1</v>
      </c>
      <c r="N2" s="22">
        <v>0.02</v>
      </c>
      <c r="O2" s="12" t="s">
        <v>74</v>
      </c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</row>
    <row r="3" spans="1:28" x14ac:dyDescent="0.25">
      <c r="A3" s="19" t="s">
        <v>20</v>
      </c>
      <c r="B3" s="12" t="str">
        <f t="shared" si="0"/>
        <v>Neon Blue Digital Art Standing Firm Angel</v>
      </c>
      <c r="C3" s="54" t="s">
        <v>21</v>
      </c>
      <c r="D3" s="12" t="s">
        <v>22</v>
      </c>
      <c r="E3" s="12" t="s">
        <v>14</v>
      </c>
      <c r="F3" s="12" t="s">
        <v>23</v>
      </c>
      <c r="G3" s="12" t="s">
        <v>24</v>
      </c>
      <c r="H3" s="12" t="s">
        <v>25</v>
      </c>
      <c r="I3" s="12" t="s">
        <v>26</v>
      </c>
      <c r="J3" s="12" t="s">
        <v>19</v>
      </c>
      <c r="K3" s="13">
        <v>8</v>
      </c>
      <c r="L3" s="22">
        <v>1</v>
      </c>
      <c r="M3" s="22">
        <v>1</v>
      </c>
      <c r="N3" s="22">
        <v>0.02</v>
      </c>
      <c r="O3" s="12" t="s">
        <v>75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B3" s="12"/>
    </row>
    <row r="4" spans="1:28" x14ac:dyDescent="0.25">
      <c r="A4" s="19" t="s">
        <v>27</v>
      </c>
      <c r="B4" s="12" t="str">
        <f t="shared" si="0"/>
        <v>Neon Pink Digital Art Dancing Euphoric Angel</v>
      </c>
      <c r="C4" s="54" t="s">
        <v>28</v>
      </c>
      <c r="D4" s="12" t="s">
        <v>13</v>
      </c>
      <c r="E4" s="20" t="s">
        <v>14</v>
      </c>
      <c r="F4" s="12" t="s">
        <v>23</v>
      </c>
      <c r="G4" s="12" t="s">
        <v>29</v>
      </c>
      <c r="H4" s="12" t="s">
        <v>30</v>
      </c>
      <c r="I4" s="12" t="s">
        <v>31</v>
      </c>
      <c r="J4" s="12" t="s">
        <v>19</v>
      </c>
      <c r="K4" s="13">
        <v>7</v>
      </c>
      <c r="L4" s="22">
        <v>1</v>
      </c>
      <c r="M4" s="22">
        <v>1</v>
      </c>
      <c r="N4" s="22">
        <v>0.02</v>
      </c>
      <c r="O4" s="51" t="s">
        <v>88</v>
      </c>
      <c r="P4" s="12"/>
      <c r="R4" s="12"/>
      <c r="T4" s="12"/>
      <c r="U4" s="12"/>
      <c r="V4" s="12"/>
      <c r="W4" s="12"/>
      <c r="X4" s="12"/>
      <c r="Y4" s="12"/>
      <c r="Z4" s="12"/>
    </row>
    <row r="5" spans="1:28" x14ac:dyDescent="0.25">
      <c r="A5" s="19" t="s">
        <v>32</v>
      </c>
      <c r="B5" s="12" t="str">
        <f t="shared" si="0"/>
        <v>Neon Blue Digital Art Sitting Bleak Angel</v>
      </c>
      <c r="C5" s="54" t="s">
        <v>33</v>
      </c>
      <c r="D5" s="12" t="s">
        <v>22</v>
      </c>
      <c r="E5" s="20" t="s">
        <v>14</v>
      </c>
      <c r="F5" s="12" t="s">
        <v>23</v>
      </c>
      <c r="G5" s="12" t="s">
        <v>34</v>
      </c>
      <c r="H5" s="12" t="s">
        <v>35</v>
      </c>
      <c r="I5" s="12" t="s">
        <v>36</v>
      </c>
      <c r="J5" s="12" t="s">
        <v>19</v>
      </c>
      <c r="K5" s="13">
        <v>5</v>
      </c>
      <c r="L5" s="22">
        <v>1</v>
      </c>
      <c r="M5" s="22">
        <v>1</v>
      </c>
      <c r="N5" s="22">
        <v>0.02</v>
      </c>
      <c r="O5" s="51" t="s">
        <v>89</v>
      </c>
      <c r="P5" s="12"/>
      <c r="U5" s="12"/>
      <c r="V5" s="12"/>
      <c r="W5" s="12"/>
      <c r="X5" s="12"/>
      <c r="Y5" s="12"/>
      <c r="Z5" s="12"/>
    </row>
    <row r="6" spans="1:28" x14ac:dyDescent="0.25">
      <c r="A6" s="19" t="s">
        <v>37</v>
      </c>
      <c r="B6" s="12" t="str">
        <f t="shared" si="0"/>
        <v>White Cyberpunk Seiza Innocent Angel</v>
      </c>
      <c r="C6" s="54" t="s">
        <v>38</v>
      </c>
      <c r="D6" s="12" t="s">
        <v>39</v>
      </c>
      <c r="E6" s="20" t="s">
        <v>14</v>
      </c>
      <c r="F6" s="12" t="s">
        <v>15</v>
      </c>
      <c r="G6" s="12" t="s">
        <v>40</v>
      </c>
      <c r="H6" s="12" t="s">
        <v>41</v>
      </c>
      <c r="I6" s="12" t="s">
        <v>42</v>
      </c>
      <c r="J6" s="12" t="s">
        <v>19</v>
      </c>
      <c r="K6" s="13">
        <v>8</v>
      </c>
      <c r="L6" s="22">
        <v>1</v>
      </c>
      <c r="M6" s="22">
        <v>1</v>
      </c>
      <c r="N6" s="22">
        <v>0.02</v>
      </c>
      <c r="O6" s="51" t="s">
        <v>90</v>
      </c>
      <c r="P6" s="12"/>
      <c r="U6" s="12"/>
      <c r="V6" s="12"/>
      <c r="W6" s="12"/>
      <c r="X6" s="12"/>
      <c r="Y6" s="12"/>
      <c r="Z6" s="12"/>
    </row>
    <row r="7" spans="1:28" x14ac:dyDescent="0.25">
      <c r="A7" s="19" t="s">
        <v>43</v>
      </c>
      <c r="B7" s="12" t="str">
        <f t="shared" si="0"/>
        <v>Bronze Cyberpunk Sitting Dominant Angel</v>
      </c>
      <c r="C7" s="54" t="s">
        <v>44</v>
      </c>
      <c r="D7" s="12" t="s">
        <v>45</v>
      </c>
      <c r="E7" s="20" t="s">
        <v>14</v>
      </c>
      <c r="F7" s="12" t="s">
        <v>15</v>
      </c>
      <c r="G7" s="12" t="s">
        <v>34</v>
      </c>
      <c r="H7" s="12" t="s">
        <v>46</v>
      </c>
      <c r="I7" s="12" t="s">
        <v>47</v>
      </c>
      <c r="J7" s="12" t="s">
        <v>19</v>
      </c>
      <c r="K7" s="13">
        <v>4</v>
      </c>
      <c r="L7" s="22">
        <v>1</v>
      </c>
      <c r="M7" s="22">
        <v>1</v>
      </c>
      <c r="N7" s="22">
        <v>0.02</v>
      </c>
      <c r="O7" s="52" t="s">
        <v>91</v>
      </c>
      <c r="P7" s="12"/>
      <c r="U7" s="12"/>
      <c r="V7" s="12"/>
      <c r="W7" s="12"/>
      <c r="X7" s="12"/>
      <c r="Y7" s="12"/>
      <c r="Z7" s="12"/>
    </row>
    <row r="8" spans="1:28" x14ac:dyDescent="0.25">
      <c r="A8" s="19" t="s">
        <v>48</v>
      </c>
      <c r="B8" s="12" t="str">
        <f t="shared" si="0"/>
        <v>Neon Pink Cyberpunk Sitting Empty Angel</v>
      </c>
      <c r="C8" s="54" t="s">
        <v>49</v>
      </c>
      <c r="D8" s="12" t="s">
        <v>13</v>
      </c>
      <c r="E8" s="20" t="s">
        <v>14</v>
      </c>
      <c r="F8" s="12" t="s">
        <v>15</v>
      </c>
      <c r="G8" s="12" t="s">
        <v>34</v>
      </c>
      <c r="H8" s="12" t="s">
        <v>50</v>
      </c>
      <c r="I8" s="12" t="s">
        <v>51</v>
      </c>
      <c r="J8" s="12" t="s">
        <v>19</v>
      </c>
      <c r="K8" s="13">
        <v>4</v>
      </c>
      <c r="L8" s="22">
        <v>1</v>
      </c>
      <c r="M8" s="22">
        <v>1</v>
      </c>
      <c r="N8" s="22">
        <v>0.02</v>
      </c>
      <c r="O8" s="52" t="s">
        <v>92</v>
      </c>
      <c r="V8" s="12"/>
      <c r="X8" s="12"/>
      <c r="Y8" s="12"/>
      <c r="Z8" s="12"/>
    </row>
    <row r="9" spans="1:28" x14ac:dyDescent="0.25">
      <c r="A9" s="19" t="s">
        <v>52</v>
      </c>
      <c r="B9" s="12" t="str">
        <f t="shared" si="0"/>
        <v>Black Cyberpunk Posing Empty Android</v>
      </c>
      <c r="C9" s="54" t="s">
        <v>53</v>
      </c>
      <c r="D9" s="12" t="s">
        <v>54</v>
      </c>
      <c r="E9" s="20" t="s">
        <v>55</v>
      </c>
      <c r="F9" s="12" t="s">
        <v>15</v>
      </c>
      <c r="G9" s="12" t="s">
        <v>56</v>
      </c>
      <c r="H9" s="12" t="s">
        <v>50</v>
      </c>
      <c r="I9" s="12" t="s">
        <v>57</v>
      </c>
      <c r="J9" s="12" t="s">
        <v>19</v>
      </c>
      <c r="K9" s="13">
        <v>6</v>
      </c>
      <c r="L9" s="22">
        <v>1</v>
      </c>
      <c r="M9" s="22">
        <v>1</v>
      </c>
      <c r="N9" s="22">
        <v>0.02</v>
      </c>
      <c r="O9" s="52" t="s">
        <v>93</v>
      </c>
      <c r="X9" s="12"/>
      <c r="Y9" s="12"/>
      <c r="Z9" s="12"/>
    </row>
    <row r="10" spans="1:28" x14ac:dyDescent="0.25">
      <c r="B10" s="51"/>
      <c r="D10" s="52"/>
      <c r="Z10" s="12"/>
    </row>
    <row r="11" spans="1:28" x14ac:dyDescent="0.25">
      <c r="B11" s="12" t="str">
        <f t="shared" si="0"/>
        <v xml:space="preserve">    </v>
      </c>
    </row>
    <row r="12" spans="1:28" x14ac:dyDescent="0.25">
      <c r="B12" s="12" t="str">
        <f t="shared" si="0"/>
        <v xml:space="preserve">    </v>
      </c>
    </row>
    <row r="13" spans="1:28" x14ac:dyDescent="0.25">
      <c r="B13" s="12" t="str">
        <f t="shared" si="0"/>
        <v xml:space="preserve">    </v>
      </c>
    </row>
    <row r="14" spans="1:28" x14ac:dyDescent="0.25">
      <c r="B14" s="12" t="str">
        <f t="shared" si="0"/>
        <v xml:space="preserve">    </v>
      </c>
    </row>
    <row r="15" spans="1:28" x14ac:dyDescent="0.25">
      <c r="B15" s="12" t="str">
        <f t="shared" si="0"/>
        <v xml:space="preserve">    </v>
      </c>
    </row>
    <row r="16" spans="1:28" x14ac:dyDescent="0.25">
      <c r="B16" s="12" t="str">
        <f t="shared" si="0"/>
        <v xml:space="preserve">    </v>
      </c>
    </row>
    <row r="17" spans="2:14" s="13" customFormat="1" x14ac:dyDescent="0.25">
      <c r="B17" s="12" t="str">
        <f t="shared" si="0"/>
        <v xml:space="preserve">    </v>
      </c>
      <c r="C17" s="55"/>
      <c r="L17" s="22"/>
      <c r="M17" s="22"/>
      <c r="N17" s="22"/>
    </row>
    <row r="18" spans="2:14" s="13" customFormat="1" x14ac:dyDescent="0.25">
      <c r="B18" s="12" t="str">
        <f t="shared" si="0"/>
        <v xml:space="preserve">    </v>
      </c>
      <c r="C18" s="55"/>
      <c r="L18" s="22"/>
      <c r="M18" s="22"/>
      <c r="N18" s="22"/>
    </row>
    <row r="19" spans="2:14" s="13" customFormat="1" x14ac:dyDescent="0.25">
      <c r="B19" s="12" t="str">
        <f t="shared" si="0"/>
        <v xml:space="preserve">    </v>
      </c>
      <c r="C19" s="55"/>
      <c r="L19" s="22"/>
      <c r="M19" s="22"/>
      <c r="N19" s="22"/>
    </row>
    <row r="20" spans="2:14" s="13" customFormat="1" x14ac:dyDescent="0.25">
      <c r="B20" s="12" t="str">
        <f t="shared" si="0"/>
        <v xml:space="preserve">    </v>
      </c>
      <c r="C20" s="55"/>
      <c r="L20" s="22"/>
      <c r="M20" s="22"/>
      <c r="N20" s="22"/>
    </row>
    <row r="21" spans="2:14" s="13" customFormat="1" ht="15.75" customHeight="1" x14ac:dyDescent="0.25">
      <c r="B21" s="12" t="str">
        <f t="shared" si="0"/>
        <v xml:space="preserve">    </v>
      </c>
      <c r="C21" s="55"/>
      <c r="L21" s="22"/>
      <c r="M21" s="22"/>
      <c r="N21" s="22"/>
    </row>
    <row r="22" spans="2:14" s="13" customFormat="1" ht="15.75" customHeight="1" x14ac:dyDescent="0.25">
      <c r="B22" s="12" t="str">
        <f t="shared" si="0"/>
        <v xml:space="preserve">    </v>
      </c>
      <c r="C22" s="55"/>
      <c r="L22" s="22"/>
      <c r="M22" s="22"/>
      <c r="N22" s="22"/>
    </row>
    <row r="23" spans="2:14" s="13" customFormat="1" ht="15.75" customHeight="1" x14ac:dyDescent="0.25">
      <c r="B23" s="12" t="str">
        <f t="shared" si="0"/>
        <v xml:space="preserve">    </v>
      </c>
      <c r="C23" s="55"/>
      <c r="L23" s="22"/>
      <c r="M23" s="22"/>
      <c r="N23" s="22"/>
    </row>
    <row r="24" spans="2:14" s="13" customFormat="1" ht="15.75" customHeight="1" x14ac:dyDescent="0.25">
      <c r="B24" s="12" t="str">
        <f t="shared" si="0"/>
        <v xml:space="preserve">    </v>
      </c>
      <c r="C24" s="55"/>
      <c r="L24" s="22"/>
      <c r="M24" s="22"/>
      <c r="N24" s="22"/>
    </row>
    <row r="25" spans="2:14" s="13" customFormat="1" ht="15.75" customHeight="1" x14ac:dyDescent="0.25">
      <c r="B25" s="12" t="str">
        <f t="shared" si="0"/>
        <v xml:space="preserve">    </v>
      </c>
      <c r="C25" s="55"/>
      <c r="L25" s="22"/>
      <c r="M25" s="22"/>
      <c r="N25" s="22"/>
    </row>
    <row r="26" spans="2:14" s="13" customFormat="1" ht="15.75" customHeight="1" x14ac:dyDescent="0.25">
      <c r="B26" s="12" t="str">
        <f t="shared" si="0"/>
        <v xml:space="preserve">    </v>
      </c>
      <c r="C26" s="55"/>
      <c r="L26" s="22"/>
      <c r="M26" s="22"/>
      <c r="N26" s="22"/>
    </row>
    <row r="27" spans="2:14" s="13" customFormat="1" ht="15.75" customHeight="1" x14ac:dyDescent="0.25">
      <c r="B27" s="12" t="str">
        <f t="shared" si="0"/>
        <v xml:space="preserve">    </v>
      </c>
      <c r="C27" s="55"/>
      <c r="L27" s="22"/>
      <c r="M27" s="22"/>
      <c r="N27" s="22"/>
    </row>
    <row r="28" spans="2:14" s="13" customFormat="1" ht="15.75" customHeight="1" x14ac:dyDescent="0.25">
      <c r="B28" s="12" t="str">
        <f t="shared" si="0"/>
        <v xml:space="preserve">    </v>
      </c>
      <c r="C28" s="55"/>
      <c r="L28" s="22"/>
      <c r="M28" s="22"/>
      <c r="N28" s="22"/>
    </row>
    <row r="29" spans="2:14" s="13" customFormat="1" ht="15.75" customHeight="1" x14ac:dyDescent="0.25">
      <c r="B29" s="12" t="str">
        <f t="shared" si="0"/>
        <v xml:space="preserve">    </v>
      </c>
      <c r="C29" s="55"/>
      <c r="L29" s="22"/>
      <c r="M29" s="22"/>
      <c r="N29" s="22"/>
    </row>
    <row r="30" spans="2:14" s="13" customFormat="1" ht="15.75" customHeight="1" x14ac:dyDescent="0.25">
      <c r="B30" s="12" t="str">
        <f t="shared" si="0"/>
        <v xml:space="preserve">    </v>
      </c>
      <c r="C30" s="55"/>
      <c r="L30" s="22"/>
      <c r="M30" s="22"/>
      <c r="N30" s="22"/>
    </row>
    <row r="31" spans="2:14" s="13" customFormat="1" ht="15.75" customHeight="1" x14ac:dyDescent="0.25">
      <c r="B31" s="12" t="str">
        <f t="shared" si="0"/>
        <v xml:space="preserve">    </v>
      </c>
      <c r="C31" s="55"/>
      <c r="L31" s="22"/>
      <c r="M31" s="22"/>
      <c r="N31" s="22"/>
    </row>
    <row r="32" spans="2:14" s="13" customFormat="1" ht="15.75" customHeight="1" x14ac:dyDescent="0.25">
      <c r="B32" s="12" t="str">
        <f t="shared" si="0"/>
        <v xml:space="preserve">    </v>
      </c>
      <c r="C32" s="55"/>
      <c r="L32" s="22"/>
      <c r="M32" s="22"/>
      <c r="N32" s="22"/>
    </row>
    <row r="33" spans="2:14" s="13" customFormat="1" ht="15.75" customHeight="1" x14ac:dyDescent="0.25">
      <c r="B33" s="12" t="str">
        <f t="shared" si="0"/>
        <v xml:space="preserve">    </v>
      </c>
      <c r="C33" s="55"/>
      <c r="L33" s="22"/>
      <c r="M33" s="22"/>
      <c r="N33" s="22"/>
    </row>
    <row r="34" spans="2:14" s="13" customFormat="1" ht="15.75" customHeight="1" x14ac:dyDescent="0.25">
      <c r="B34" s="12" t="str">
        <f t="shared" si="0"/>
        <v xml:space="preserve">    </v>
      </c>
      <c r="C34" s="55"/>
      <c r="L34" s="22"/>
      <c r="M34" s="22"/>
      <c r="N34" s="22"/>
    </row>
    <row r="35" spans="2:14" s="13" customFormat="1" ht="15.75" customHeight="1" x14ac:dyDescent="0.25">
      <c r="B35" s="12" t="str">
        <f t="shared" si="0"/>
        <v xml:space="preserve">    </v>
      </c>
      <c r="C35" s="55"/>
      <c r="L35" s="22"/>
      <c r="M35" s="22"/>
      <c r="N35" s="22"/>
    </row>
    <row r="36" spans="2:14" s="13" customFormat="1" ht="15.75" customHeight="1" x14ac:dyDescent="0.25">
      <c r="B36" s="12" t="str">
        <f t="shared" si="0"/>
        <v xml:space="preserve">    </v>
      </c>
      <c r="C36" s="55"/>
      <c r="L36" s="22"/>
      <c r="M36" s="22"/>
      <c r="N36" s="22"/>
    </row>
    <row r="37" spans="2:14" s="13" customFormat="1" ht="15.75" customHeight="1" x14ac:dyDescent="0.25">
      <c r="B37" s="12" t="str">
        <f t="shared" si="0"/>
        <v xml:space="preserve">    </v>
      </c>
      <c r="C37" s="55"/>
      <c r="L37" s="22"/>
      <c r="M37" s="22"/>
      <c r="N37" s="22"/>
    </row>
    <row r="38" spans="2:14" s="13" customFormat="1" ht="15.75" customHeight="1" x14ac:dyDescent="0.25">
      <c r="B38" s="12" t="str">
        <f t="shared" si="0"/>
        <v xml:space="preserve">    </v>
      </c>
      <c r="C38" s="55"/>
      <c r="L38" s="22"/>
      <c r="M38" s="22"/>
      <c r="N38" s="22"/>
    </row>
    <row r="39" spans="2:14" s="13" customFormat="1" ht="15.75" customHeight="1" x14ac:dyDescent="0.25">
      <c r="B39" s="12" t="str">
        <f t="shared" si="0"/>
        <v xml:space="preserve">    </v>
      </c>
      <c r="C39" s="55"/>
      <c r="L39" s="22"/>
      <c r="M39" s="22"/>
      <c r="N39" s="22"/>
    </row>
    <row r="40" spans="2:14" s="13" customFormat="1" ht="15.75" customHeight="1" x14ac:dyDescent="0.25">
      <c r="B40" s="12" t="str">
        <f t="shared" si="0"/>
        <v xml:space="preserve">    </v>
      </c>
      <c r="C40" s="55"/>
      <c r="L40" s="22"/>
      <c r="M40" s="22"/>
      <c r="N40" s="22"/>
    </row>
    <row r="41" spans="2:14" s="13" customFormat="1" ht="15.75" customHeight="1" x14ac:dyDescent="0.25">
      <c r="B41" s="12" t="str">
        <f t="shared" si="0"/>
        <v xml:space="preserve">    </v>
      </c>
      <c r="C41" s="55"/>
      <c r="L41" s="22"/>
      <c r="M41" s="22"/>
      <c r="N41" s="22"/>
    </row>
    <row r="42" spans="2:14" s="13" customFormat="1" ht="15.75" customHeight="1" x14ac:dyDescent="0.25">
      <c r="B42" s="12" t="str">
        <f t="shared" si="0"/>
        <v xml:space="preserve">    </v>
      </c>
      <c r="C42" s="55"/>
      <c r="L42" s="22"/>
      <c r="M42" s="22"/>
      <c r="N42" s="22"/>
    </row>
    <row r="43" spans="2:14" s="13" customFormat="1" ht="15.75" customHeight="1" x14ac:dyDescent="0.25">
      <c r="B43" s="12" t="str">
        <f t="shared" si="0"/>
        <v xml:space="preserve">    </v>
      </c>
      <c r="C43" s="55"/>
      <c r="L43" s="22"/>
      <c r="M43" s="22"/>
      <c r="N43" s="22"/>
    </row>
    <row r="44" spans="2:14" s="13" customFormat="1" ht="15.75" customHeight="1" x14ac:dyDescent="0.25">
      <c r="B44" s="12" t="str">
        <f t="shared" si="0"/>
        <v xml:space="preserve">    </v>
      </c>
      <c r="C44" s="55"/>
      <c r="L44" s="22"/>
      <c r="M44" s="22"/>
      <c r="N44" s="22"/>
    </row>
    <row r="45" spans="2:14" s="13" customFormat="1" ht="15.75" customHeight="1" x14ac:dyDescent="0.25">
      <c r="B45" s="12" t="str">
        <f t="shared" si="0"/>
        <v xml:space="preserve">    </v>
      </c>
      <c r="C45" s="55"/>
      <c r="L45" s="22"/>
      <c r="M45" s="22"/>
      <c r="N45" s="22"/>
    </row>
    <row r="46" spans="2:14" s="13" customFormat="1" ht="15.75" customHeight="1" x14ac:dyDescent="0.25">
      <c r="B46" s="12" t="str">
        <f t="shared" si="0"/>
        <v xml:space="preserve">    </v>
      </c>
      <c r="C46" s="55"/>
      <c r="L46" s="22"/>
      <c r="M46" s="22"/>
      <c r="N46" s="22"/>
    </row>
    <row r="47" spans="2:14" s="13" customFormat="1" ht="15.75" customHeight="1" x14ac:dyDescent="0.25">
      <c r="B47" s="12" t="str">
        <f t="shared" si="0"/>
        <v xml:space="preserve">    </v>
      </c>
      <c r="C47" s="55"/>
      <c r="L47" s="22"/>
      <c r="M47" s="22"/>
      <c r="N47" s="22"/>
    </row>
    <row r="48" spans="2:14" s="13" customFormat="1" ht="15.75" customHeight="1" x14ac:dyDescent="0.25">
      <c r="B48" s="12" t="str">
        <f t="shared" si="0"/>
        <v xml:space="preserve">    </v>
      </c>
      <c r="C48" s="55"/>
      <c r="L48" s="22"/>
      <c r="M48" s="22"/>
      <c r="N48" s="22"/>
    </row>
    <row r="49" spans="2:14" s="13" customFormat="1" ht="15.75" customHeight="1" x14ac:dyDescent="0.25">
      <c r="B49" s="12" t="str">
        <f t="shared" si="0"/>
        <v xml:space="preserve">    </v>
      </c>
      <c r="C49" s="55"/>
      <c r="L49" s="22"/>
      <c r="M49" s="22"/>
      <c r="N49" s="22"/>
    </row>
    <row r="50" spans="2:14" s="13" customFormat="1" ht="15.75" customHeight="1" x14ac:dyDescent="0.25">
      <c r="B50" s="12" t="str">
        <f t="shared" si="0"/>
        <v xml:space="preserve">    </v>
      </c>
      <c r="C50" s="55"/>
      <c r="L50" s="22"/>
      <c r="M50" s="22"/>
      <c r="N50" s="22"/>
    </row>
    <row r="51" spans="2:14" s="13" customFormat="1" ht="15.75" customHeight="1" x14ac:dyDescent="0.25">
      <c r="B51" s="12" t="str">
        <f t="shared" si="0"/>
        <v xml:space="preserve">    </v>
      </c>
      <c r="C51" s="55"/>
      <c r="L51" s="22"/>
      <c r="M51" s="22"/>
      <c r="N51" s="22"/>
    </row>
    <row r="52" spans="2:14" s="13" customFormat="1" ht="15.75" customHeight="1" x14ac:dyDescent="0.25">
      <c r="B52" s="12" t="str">
        <f t="shared" si="0"/>
        <v xml:space="preserve">    </v>
      </c>
      <c r="C52" s="55"/>
      <c r="L52" s="22"/>
      <c r="M52" s="22"/>
      <c r="N52" s="22"/>
    </row>
    <row r="53" spans="2:14" s="13" customFormat="1" ht="15.75" customHeight="1" x14ac:dyDescent="0.25">
      <c r="B53" s="12" t="str">
        <f t="shared" si="0"/>
        <v xml:space="preserve">    </v>
      </c>
      <c r="C53" s="55"/>
      <c r="L53" s="22"/>
      <c r="M53" s="22"/>
      <c r="N53" s="22"/>
    </row>
    <row r="54" spans="2:14" s="13" customFormat="1" ht="15.75" customHeight="1" x14ac:dyDescent="0.25">
      <c r="B54" s="12" t="str">
        <f t="shared" si="0"/>
        <v xml:space="preserve">    </v>
      </c>
      <c r="C54" s="55"/>
      <c r="L54" s="22"/>
      <c r="M54" s="22"/>
      <c r="N54" s="22"/>
    </row>
    <row r="55" spans="2:14" s="13" customFormat="1" ht="15.75" customHeight="1" x14ac:dyDescent="0.25">
      <c r="B55" s="12" t="str">
        <f t="shared" si="0"/>
        <v xml:space="preserve">    </v>
      </c>
      <c r="C55" s="55"/>
      <c r="L55" s="22"/>
      <c r="M55" s="22"/>
      <c r="N55" s="22"/>
    </row>
    <row r="56" spans="2:14" s="13" customFormat="1" ht="15.75" customHeight="1" x14ac:dyDescent="0.25">
      <c r="B56" s="12" t="str">
        <f t="shared" si="0"/>
        <v xml:space="preserve">    </v>
      </c>
      <c r="C56" s="55"/>
      <c r="L56" s="22"/>
      <c r="M56" s="22"/>
      <c r="N56" s="22"/>
    </row>
    <row r="57" spans="2:14" s="13" customFormat="1" ht="15.75" customHeight="1" x14ac:dyDescent="0.25">
      <c r="B57" s="12" t="str">
        <f t="shared" si="0"/>
        <v xml:space="preserve">    </v>
      </c>
      <c r="C57" s="55"/>
      <c r="L57" s="22"/>
      <c r="M57" s="22"/>
      <c r="N57" s="22"/>
    </row>
    <row r="58" spans="2:14" s="13" customFormat="1" ht="15.75" customHeight="1" x14ac:dyDescent="0.25">
      <c r="B58" s="12" t="str">
        <f t="shared" si="0"/>
        <v xml:space="preserve">    </v>
      </c>
      <c r="C58" s="55"/>
      <c r="L58" s="22"/>
      <c r="M58" s="22"/>
      <c r="N58" s="22"/>
    </row>
    <row r="59" spans="2:14" s="13" customFormat="1" ht="15.75" customHeight="1" x14ac:dyDescent="0.25">
      <c r="B59" s="12" t="str">
        <f t="shared" si="0"/>
        <v xml:space="preserve">    </v>
      </c>
      <c r="C59" s="55"/>
      <c r="L59" s="22"/>
      <c r="M59" s="22"/>
      <c r="N59" s="22"/>
    </row>
    <row r="60" spans="2:14" s="13" customFormat="1" ht="15.75" customHeight="1" x14ac:dyDescent="0.25">
      <c r="B60" s="12" t="str">
        <f t="shared" si="0"/>
        <v xml:space="preserve">    </v>
      </c>
      <c r="C60" s="55"/>
      <c r="L60" s="22"/>
      <c r="M60" s="22"/>
      <c r="N60" s="22"/>
    </row>
    <row r="61" spans="2:14" s="13" customFormat="1" ht="15.75" customHeight="1" x14ac:dyDescent="0.25">
      <c r="B61" s="12" t="str">
        <f t="shared" si="0"/>
        <v xml:space="preserve">    </v>
      </c>
      <c r="C61" s="55"/>
      <c r="L61" s="22"/>
      <c r="M61" s="22"/>
      <c r="N61" s="22"/>
    </row>
    <row r="62" spans="2:14" s="13" customFormat="1" ht="15.75" customHeight="1" x14ac:dyDescent="0.25">
      <c r="B62" s="12" t="str">
        <f t="shared" si="0"/>
        <v xml:space="preserve">    </v>
      </c>
      <c r="C62" s="55"/>
      <c r="L62" s="22"/>
      <c r="M62" s="22"/>
      <c r="N62" s="22"/>
    </row>
    <row r="63" spans="2:14" s="13" customFormat="1" ht="15.75" customHeight="1" x14ac:dyDescent="0.25">
      <c r="B63" s="12" t="str">
        <f t="shared" si="0"/>
        <v xml:space="preserve">    </v>
      </c>
      <c r="C63" s="55"/>
      <c r="L63" s="22"/>
      <c r="M63" s="22"/>
      <c r="N63" s="22"/>
    </row>
    <row r="64" spans="2:14" s="13" customFormat="1" ht="15.75" customHeight="1" x14ac:dyDescent="0.25">
      <c r="B64" s="12" t="str">
        <f t="shared" si="0"/>
        <v xml:space="preserve">    </v>
      </c>
      <c r="C64" s="55"/>
      <c r="L64" s="22"/>
      <c r="M64" s="22"/>
      <c r="N64" s="22"/>
    </row>
    <row r="65" spans="2:14" s="13" customFormat="1" ht="15.75" customHeight="1" x14ac:dyDescent="0.25">
      <c r="B65" s="12" t="str">
        <f t="shared" si="0"/>
        <v xml:space="preserve">    </v>
      </c>
      <c r="C65" s="55"/>
      <c r="L65" s="22"/>
      <c r="M65" s="22"/>
      <c r="N65" s="22"/>
    </row>
    <row r="66" spans="2:14" s="13" customFormat="1" ht="15.75" customHeight="1" x14ac:dyDescent="0.25">
      <c r="B66" s="12" t="str">
        <f t="shared" si="0"/>
        <v xml:space="preserve">    </v>
      </c>
      <c r="C66" s="55"/>
      <c r="L66" s="22"/>
      <c r="M66" s="22"/>
      <c r="N66" s="22"/>
    </row>
    <row r="67" spans="2:14" s="13" customFormat="1" ht="15.75" customHeight="1" x14ac:dyDescent="0.25">
      <c r="B67" s="12" t="str">
        <f t="shared" si="0"/>
        <v xml:space="preserve">    </v>
      </c>
      <c r="C67" s="55"/>
      <c r="L67" s="22"/>
      <c r="M67" s="22"/>
      <c r="N67" s="22"/>
    </row>
    <row r="68" spans="2:14" s="13" customFormat="1" ht="15.75" customHeight="1" x14ac:dyDescent="0.25">
      <c r="B68" s="12" t="str">
        <f t="shared" si="0"/>
        <v xml:space="preserve">    </v>
      </c>
      <c r="C68" s="55"/>
      <c r="L68" s="22"/>
      <c r="M68" s="22"/>
      <c r="N68" s="22"/>
    </row>
    <row r="69" spans="2:14" s="13" customFormat="1" ht="15.75" customHeight="1" x14ac:dyDescent="0.25">
      <c r="B69" s="12" t="str">
        <f t="shared" si="0"/>
        <v xml:space="preserve">    </v>
      </c>
      <c r="C69" s="55"/>
      <c r="L69" s="22"/>
      <c r="M69" s="22"/>
      <c r="N69" s="22"/>
    </row>
    <row r="70" spans="2:14" s="13" customFormat="1" ht="15.75" customHeight="1" x14ac:dyDescent="0.25">
      <c r="B70" s="12" t="str">
        <f t="shared" si="0"/>
        <v xml:space="preserve">    </v>
      </c>
      <c r="C70" s="55"/>
      <c r="L70" s="22"/>
      <c r="M70" s="22"/>
      <c r="N70" s="22"/>
    </row>
    <row r="71" spans="2:14" s="13" customFormat="1" ht="15.75" customHeight="1" x14ac:dyDescent="0.25">
      <c r="B71" s="12" t="str">
        <f t="shared" si="0"/>
        <v xml:space="preserve">    </v>
      </c>
      <c r="C71" s="55"/>
      <c r="L71" s="22"/>
      <c r="M71" s="22"/>
      <c r="N71" s="22"/>
    </row>
    <row r="72" spans="2:14" s="13" customFormat="1" ht="15.75" customHeight="1" x14ac:dyDescent="0.25">
      <c r="B72" s="12" t="str">
        <f t="shared" si="0"/>
        <v xml:space="preserve">    </v>
      </c>
      <c r="C72" s="55"/>
      <c r="L72" s="22"/>
      <c r="M72" s="22"/>
      <c r="N72" s="22"/>
    </row>
    <row r="73" spans="2:14" s="13" customFormat="1" ht="15.75" customHeight="1" x14ac:dyDescent="0.25">
      <c r="B73" s="12" t="str">
        <f t="shared" si="0"/>
        <v xml:space="preserve">    </v>
      </c>
      <c r="C73" s="55"/>
      <c r="L73" s="22"/>
      <c r="M73" s="22"/>
      <c r="N73" s="22"/>
    </row>
    <row r="74" spans="2:14" s="13" customFormat="1" ht="15.75" customHeight="1" x14ac:dyDescent="0.25">
      <c r="B74" s="12" t="str">
        <f t="shared" si="0"/>
        <v xml:space="preserve">    </v>
      </c>
      <c r="C74" s="55"/>
      <c r="L74" s="22"/>
      <c r="M74" s="22"/>
      <c r="N74" s="22"/>
    </row>
    <row r="75" spans="2:14" s="13" customFormat="1" ht="15.75" customHeight="1" x14ac:dyDescent="0.25">
      <c r="B75" s="12" t="str">
        <f t="shared" si="0"/>
        <v xml:space="preserve">    </v>
      </c>
      <c r="C75" s="55"/>
      <c r="L75" s="22"/>
      <c r="M75" s="22"/>
      <c r="N75" s="22"/>
    </row>
    <row r="76" spans="2:14" s="13" customFormat="1" ht="15.75" customHeight="1" x14ac:dyDescent="0.25">
      <c r="B76" s="12" t="str">
        <f t="shared" si="0"/>
        <v xml:space="preserve">    </v>
      </c>
      <c r="C76" s="55"/>
      <c r="L76" s="22"/>
      <c r="M76" s="22"/>
      <c r="N76" s="22"/>
    </row>
    <row r="77" spans="2:14" s="13" customFormat="1" ht="15.75" customHeight="1" x14ac:dyDescent="0.25">
      <c r="B77" s="12" t="str">
        <f t="shared" si="0"/>
        <v xml:space="preserve">    </v>
      </c>
      <c r="C77" s="55"/>
      <c r="L77" s="22"/>
      <c r="M77" s="22"/>
      <c r="N77" s="22"/>
    </row>
    <row r="78" spans="2:14" s="13" customFormat="1" ht="15.75" customHeight="1" x14ac:dyDescent="0.25">
      <c r="B78" s="12" t="str">
        <f t="shared" si="0"/>
        <v xml:space="preserve">    </v>
      </c>
      <c r="C78" s="55"/>
      <c r="L78" s="22"/>
      <c r="M78" s="22"/>
      <c r="N78" s="22"/>
    </row>
    <row r="79" spans="2:14" s="13" customFormat="1" ht="15.75" customHeight="1" x14ac:dyDescent="0.25">
      <c r="B79" s="12" t="str">
        <f t="shared" si="0"/>
        <v xml:space="preserve">    </v>
      </c>
      <c r="C79" s="55"/>
      <c r="L79" s="22"/>
      <c r="M79" s="22"/>
      <c r="N79" s="22"/>
    </row>
    <row r="80" spans="2:14" s="13" customFormat="1" ht="15.75" customHeight="1" x14ac:dyDescent="0.25">
      <c r="B80" s="12" t="str">
        <f t="shared" si="0"/>
        <v xml:space="preserve">    </v>
      </c>
      <c r="C80" s="55"/>
      <c r="L80" s="22"/>
      <c r="M80" s="22"/>
      <c r="N80" s="22"/>
    </row>
    <row r="81" spans="2:14" s="13" customFormat="1" ht="15.75" customHeight="1" x14ac:dyDescent="0.25">
      <c r="B81" s="12" t="str">
        <f t="shared" si="0"/>
        <v xml:space="preserve">    </v>
      </c>
      <c r="C81" s="55"/>
      <c r="L81" s="22"/>
      <c r="M81" s="22"/>
      <c r="N81" s="22"/>
    </row>
    <row r="82" spans="2:14" s="13" customFormat="1" ht="15.75" customHeight="1" x14ac:dyDescent="0.25">
      <c r="B82" s="12" t="str">
        <f t="shared" si="0"/>
        <v xml:space="preserve">    </v>
      </c>
      <c r="C82" s="55"/>
      <c r="L82" s="22"/>
      <c r="M82" s="22"/>
      <c r="N82" s="22"/>
    </row>
    <row r="83" spans="2:14" s="13" customFormat="1" ht="15.75" customHeight="1" x14ac:dyDescent="0.25">
      <c r="B83" s="12" t="str">
        <f t="shared" si="0"/>
        <v xml:space="preserve">    </v>
      </c>
      <c r="C83" s="55"/>
      <c r="L83" s="22"/>
      <c r="M83" s="22"/>
      <c r="N83" s="22"/>
    </row>
    <row r="84" spans="2:14" s="13" customFormat="1" ht="15.75" customHeight="1" x14ac:dyDescent="0.25">
      <c r="B84" s="12" t="str">
        <f t="shared" si="0"/>
        <v xml:space="preserve">    </v>
      </c>
      <c r="C84" s="55"/>
      <c r="L84" s="22"/>
      <c r="M84" s="22"/>
      <c r="N84" s="22"/>
    </row>
    <row r="85" spans="2:14" s="13" customFormat="1" ht="15.75" customHeight="1" x14ac:dyDescent="0.25">
      <c r="B85" s="12" t="str">
        <f t="shared" si="0"/>
        <v xml:space="preserve">    </v>
      </c>
      <c r="C85" s="55"/>
      <c r="L85" s="22"/>
      <c r="M85" s="22"/>
      <c r="N85" s="22"/>
    </row>
    <row r="86" spans="2:14" s="13" customFormat="1" ht="15.75" customHeight="1" x14ac:dyDescent="0.25">
      <c r="B86" s="12" t="str">
        <f t="shared" si="0"/>
        <v xml:space="preserve">    </v>
      </c>
      <c r="C86" s="55"/>
      <c r="L86" s="22"/>
      <c r="M86" s="22"/>
      <c r="N86" s="22"/>
    </row>
    <row r="87" spans="2:14" s="13" customFormat="1" ht="15.75" customHeight="1" x14ac:dyDescent="0.25">
      <c r="B87" s="12" t="str">
        <f t="shared" si="0"/>
        <v xml:space="preserve">    </v>
      </c>
      <c r="C87" s="55"/>
      <c r="L87" s="22"/>
      <c r="M87" s="22"/>
      <c r="N87" s="22"/>
    </row>
    <row r="88" spans="2:14" s="13" customFormat="1" ht="15.75" customHeight="1" x14ac:dyDescent="0.25">
      <c r="B88" s="12" t="str">
        <f t="shared" si="0"/>
        <v xml:space="preserve">    </v>
      </c>
      <c r="C88" s="55"/>
      <c r="L88" s="22"/>
      <c r="M88" s="22"/>
      <c r="N88" s="22"/>
    </row>
    <row r="89" spans="2:14" s="13" customFormat="1" ht="15.75" customHeight="1" x14ac:dyDescent="0.25">
      <c r="B89" s="12" t="str">
        <f t="shared" si="0"/>
        <v xml:space="preserve">    </v>
      </c>
      <c r="C89" s="55"/>
      <c r="L89" s="22"/>
      <c r="M89" s="22"/>
      <c r="N89" s="22"/>
    </row>
    <row r="90" spans="2:14" s="13" customFormat="1" ht="15.75" customHeight="1" x14ac:dyDescent="0.25">
      <c r="B90" s="12" t="str">
        <f t="shared" si="0"/>
        <v xml:space="preserve">    </v>
      </c>
      <c r="C90" s="55"/>
      <c r="L90" s="22"/>
      <c r="M90" s="22"/>
      <c r="N90" s="22"/>
    </row>
    <row r="91" spans="2:14" s="13" customFormat="1" ht="15.75" customHeight="1" x14ac:dyDescent="0.25">
      <c r="B91" s="12" t="str">
        <f t="shared" si="0"/>
        <v xml:space="preserve">    </v>
      </c>
      <c r="C91" s="55"/>
      <c r="L91" s="22"/>
      <c r="M91" s="22"/>
      <c r="N91" s="22"/>
    </row>
    <row r="92" spans="2:14" s="13" customFormat="1" ht="15.75" customHeight="1" x14ac:dyDescent="0.25">
      <c r="B92" s="12" t="str">
        <f t="shared" si="0"/>
        <v xml:space="preserve">    </v>
      </c>
      <c r="C92" s="55"/>
      <c r="L92" s="22"/>
      <c r="M92" s="22"/>
      <c r="N92" s="22"/>
    </row>
    <row r="93" spans="2:14" s="13" customFormat="1" ht="15.75" customHeight="1" x14ac:dyDescent="0.25">
      <c r="B93" s="12" t="str">
        <f t="shared" si="0"/>
        <v xml:space="preserve">    </v>
      </c>
      <c r="C93" s="55"/>
      <c r="L93" s="22"/>
      <c r="M93" s="22"/>
      <c r="N93" s="22"/>
    </row>
    <row r="94" spans="2:14" s="13" customFormat="1" ht="15.75" customHeight="1" x14ac:dyDescent="0.25">
      <c r="B94" s="12" t="str">
        <f t="shared" si="0"/>
        <v xml:space="preserve">    </v>
      </c>
      <c r="C94" s="55"/>
      <c r="L94" s="22"/>
      <c r="M94" s="22"/>
      <c r="N94" s="22"/>
    </row>
    <row r="95" spans="2:14" s="13" customFormat="1" ht="15.75" customHeight="1" x14ac:dyDescent="0.25">
      <c r="B95" s="12" t="str">
        <f t="shared" si="0"/>
        <v xml:space="preserve">    </v>
      </c>
      <c r="C95" s="55"/>
      <c r="L95" s="22"/>
      <c r="M95" s="22"/>
      <c r="N95" s="22"/>
    </row>
    <row r="96" spans="2:14" s="13" customFormat="1" ht="15.75" customHeight="1" x14ac:dyDescent="0.25">
      <c r="B96" s="12" t="str">
        <f t="shared" si="0"/>
        <v xml:space="preserve">    </v>
      </c>
      <c r="C96" s="55"/>
      <c r="L96" s="22"/>
      <c r="M96" s="22"/>
      <c r="N96" s="22"/>
    </row>
    <row r="97" spans="2:14" s="13" customFormat="1" ht="15.75" customHeight="1" x14ac:dyDescent="0.25">
      <c r="B97" s="12" t="str">
        <f t="shared" si="0"/>
        <v xml:space="preserve">    </v>
      </c>
      <c r="C97" s="55"/>
      <c r="L97" s="22"/>
      <c r="M97" s="22"/>
      <c r="N97" s="22"/>
    </row>
    <row r="98" spans="2:14" s="13" customFormat="1" ht="15.75" customHeight="1" x14ac:dyDescent="0.25">
      <c r="B98" s="12" t="str">
        <f t="shared" si="0"/>
        <v xml:space="preserve">    </v>
      </c>
      <c r="C98" s="55"/>
      <c r="L98" s="22"/>
      <c r="M98" s="22"/>
      <c r="N98" s="22"/>
    </row>
    <row r="99" spans="2:14" s="13" customFormat="1" ht="15.75" customHeight="1" x14ac:dyDescent="0.25">
      <c r="B99" s="12" t="str">
        <f t="shared" si="0"/>
        <v xml:space="preserve">    </v>
      </c>
      <c r="C99" s="55"/>
      <c r="L99" s="22"/>
      <c r="M99" s="22"/>
      <c r="N99" s="22"/>
    </row>
    <row r="100" spans="2:14" s="13" customFormat="1" ht="15.75" customHeight="1" x14ac:dyDescent="0.25">
      <c r="B100" s="12" t="str">
        <f t="shared" si="0"/>
        <v xml:space="preserve">    </v>
      </c>
      <c r="C100" s="55"/>
      <c r="L100" s="22"/>
      <c r="M100" s="22"/>
      <c r="N100" s="22"/>
    </row>
    <row r="101" spans="2:14" s="13" customFormat="1" ht="15.75" customHeight="1" x14ac:dyDescent="0.25">
      <c r="B101" s="12" t="str">
        <f t="shared" si="0"/>
        <v xml:space="preserve">    </v>
      </c>
      <c r="C101" s="55"/>
      <c r="L101" s="22"/>
      <c r="M101" s="22"/>
      <c r="N101" s="22"/>
    </row>
    <row r="102" spans="2:14" s="13" customFormat="1" ht="15.75" customHeight="1" x14ac:dyDescent="0.25">
      <c r="B102" s="12" t="str">
        <f t="shared" si="0"/>
        <v xml:space="preserve">    </v>
      </c>
      <c r="C102" s="55"/>
      <c r="L102" s="22"/>
      <c r="M102" s="22"/>
      <c r="N102" s="22"/>
    </row>
    <row r="103" spans="2:14" s="13" customFormat="1" ht="15.75" customHeight="1" x14ac:dyDescent="0.25">
      <c r="B103" s="12" t="str">
        <f t="shared" si="0"/>
        <v xml:space="preserve">    </v>
      </c>
      <c r="C103" s="55"/>
      <c r="L103" s="22"/>
      <c r="M103" s="22"/>
      <c r="N103" s="22"/>
    </row>
    <row r="104" spans="2:14" s="13" customFormat="1" ht="15.75" customHeight="1" x14ac:dyDescent="0.25">
      <c r="B104" s="12" t="str">
        <f t="shared" si="0"/>
        <v xml:space="preserve">    </v>
      </c>
      <c r="C104" s="55"/>
      <c r="L104" s="22"/>
      <c r="M104" s="22"/>
      <c r="N104" s="22"/>
    </row>
    <row r="105" spans="2:14" s="13" customFormat="1" ht="15.75" customHeight="1" x14ac:dyDescent="0.25">
      <c r="B105" s="12" t="str">
        <f t="shared" si="0"/>
        <v xml:space="preserve">    </v>
      </c>
      <c r="C105" s="55"/>
      <c r="L105" s="22"/>
      <c r="M105" s="22"/>
      <c r="N105" s="22"/>
    </row>
    <row r="106" spans="2:14" s="13" customFormat="1" ht="15.75" customHeight="1" x14ac:dyDescent="0.25">
      <c r="B106" s="12" t="str">
        <f t="shared" si="0"/>
        <v xml:space="preserve">    </v>
      </c>
      <c r="C106" s="55"/>
      <c r="L106" s="22"/>
      <c r="M106" s="22"/>
      <c r="N106" s="22"/>
    </row>
    <row r="107" spans="2:14" s="13" customFormat="1" ht="15.75" customHeight="1" x14ac:dyDescent="0.25">
      <c r="B107" s="12" t="str">
        <f t="shared" si="0"/>
        <v xml:space="preserve">    </v>
      </c>
      <c r="C107" s="55"/>
      <c r="L107" s="22"/>
      <c r="M107" s="22"/>
      <c r="N107" s="22"/>
    </row>
    <row r="108" spans="2:14" s="13" customFormat="1" ht="15.75" customHeight="1" x14ac:dyDescent="0.25">
      <c r="B108" s="12" t="str">
        <f t="shared" si="0"/>
        <v xml:space="preserve">    </v>
      </c>
      <c r="C108" s="55"/>
      <c r="L108" s="22"/>
      <c r="M108" s="22"/>
      <c r="N108" s="22"/>
    </row>
    <row r="109" spans="2:14" s="13" customFormat="1" ht="15.75" customHeight="1" x14ac:dyDescent="0.25">
      <c r="B109" s="12" t="str">
        <f t="shared" si="0"/>
        <v xml:space="preserve">    </v>
      </c>
      <c r="C109" s="55"/>
      <c r="L109" s="22"/>
      <c r="M109" s="22"/>
      <c r="N109" s="22"/>
    </row>
    <row r="110" spans="2:14" s="13" customFormat="1" ht="15.75" customHeight="1" x14ac:dyDescent="0.25">
      <c r="B110" s="12" t="str">
        <f t="shared" si="0"/>
        <v xml:space="preserve">    </v>
      </c>
      <c r="C110" s="55"/>
      <c r="L110" s="22"/>
      <c r="M110" s="22"/>
      <c r="N110" s="22"/>
    </row>
    <row r="111" spans="2:14" s="13" customFormat="1" ht="15.75" customHeight="1" x14ac:dyDescent="0.25">
      <c r="B111" s="12" t="str">
        <f t="shared" si="0"/>
        <v xml:space="preserve">    </v>
      </c>
      <c r="C111" s="55"/>
      <c r="L111" s="22"/>
      <c r="M111" s="22"/>
      <c r="N111" s="22"/>
    </row>
    <row r="112" spans="2:14" s="13" customFormat="1" ht="15.75" customHeight="1" x14ac:dyDescent="0.25">
      <c r="B112" s="12" t="str">
        <f t="shared" si="0"/>
        <v xml:space="preserve">    </v>
      </c>
      <c r="C112" s="55"/>
      <c r="L112" s="22"/>
      <c r="M112" s="22"/>
      <c r="N112" s="22"/>
    </row>
    <row r="113" spans="2:14" s="13" customFormat="1" ht="15.75" customHeight="1" x14ac:dyDescent="0.25">
      <c r="B113" s="12" t="str">
        <f t="shared" si="0"/>
        <v xml:space="preserve">    </v>
      </c>
      <c r="C113" s="55"/>
      <c r="L113" s="22"/>
      <c r="M113" s="22"/>
      <c r="N113" s="22"/>
    </row>
    <row r="114" spans="2:14" s="13" customFormat="1" ht="15.75" customHeight="1" x14ac:dyDescent="0.25">
      <c r="B114" s="12" t="str">
        <f t="shared" si="0"/>
        <v xml:space="preserve">    </v>
      </c>
      <c r="C114" s="55"/>
      <c r="L114" s="22"/>
      <c r="M114" s="22"/>
      <c r="N114" s="22"/>
    </row>
    <row r="115" spans="2:14" s="13" customFormat="1" ht="15.75" customHeight="1" x14ac:dyDescent="0.25">
      <c r="B115" s="12" t="str">
        <f t="shared" si="0"/>
        <v xml:space="preserve">    </v>
      </c>
      <c r="C115" s="55"/>
      <c r="L115" s="22"/>
      <c r="M115" s="22"/>
      <c r="N115" s="22"/>
    </row>
    <row r="116" spans="2:14" s="13" customFormat="1" ht="15.75" customHeight="1" x14ac:dyDescent="0.25">
      <c r="B116" s="12" t="str">
        <f t="shared" si="0"/>
        <v xml:space="preserve">    </v>
      </c>
      <c r="C116" s="55"/>
      <c r="L116" s="22"/>
      <c r="M116" s="22"/>
      <c r="N116" s="22"/>
    </row>
    <row r="117" spans="2:14" s="13" customFormat="1" ht="15.75" customHeight="1" x14ac:dyDescent="0.25">
      <c r="B117" s="12" t="str">
        <f t="shared" si="0"/>
        <v xml:space="preserve">    </v>
      </c>
      <c r="C117" s="55"/>
      <c r="L117" s="22"/>
      <c r="M117" s="22"/>
      <c r="N117" s="22"/>
    </row>
    <row r="118" spans="2:14" s="13" customFormat="1" ht="15.75" customHeight="1" x14ac:dyDescent="0.25">
      <c r="B118" s="12" t="str">
        <f t="shared" si="0"/>
        <v xml:space="preserve">    </v>
      </c>
      <c r="C118" s="55"/>
      <c r="L118" s="22"/>
      <c r="M118" s="22"/>
      <c r="N118" s="22"/>
    </row>
    <row r="119" spans="2:14" s="13" customFormat="1" ht="15.75" customHeight="1" x14ac:dyDescent="0.25">
      <c r="B119" s="12" t="str">
        <f t="shared" si="0"/>
        <v xml:space="preserve">    </v>
      </c>
      <c r="C119" s="55"/>
      <c r="L119" s="22"/>
      <c r="M119" s="22"/>
      <c r="N119" s="22"/>
    </row>
    <row r="120" spans="2:14" s="13" customFormat="1" ht="15.75" customHeight="1" x14ac:dyDescent="0.25">
      <c r="B120" s="12" t="str">
        <f t="shared" si="0"/>
        <v xml:space="preserve">    </v>
      </c>
      <c r="C120" s="55"/>
      <c r="L120" s="22"/>
      <c r="M120" s="22"/>
      <c r="N120" s="22"/>
    </row>
    <row r="121" spans="2:14" s="13" customFormat="1" ht="15.75" customHeight="1" x14ac:dyDescent="0.25">
      <c r="B121" s="12" t="str">
        <f t="shared" si="0"/>
        <v xml:space="preserve">    </v>
      </c>
      <c r="C121" s="55"/>
      <c r="L121" s="22"/>
      <c r="M121" s="22"/>
      <c r="N121" s="22"/>
    </row>
    <row r="122" spans="2:14" s="13" customFormat="1" ht="15.75" customHeight="1" x14ac:dyDescent="0.25">
      <c r="B122" s="12" t="str">
        <f t="shared" si="0"/>
        <v xml:space="preserve">    </v>
      </c>
      <c r="C122" s="55"/>
      <c r="L122" s="22"/>
      <c r="M122" s="22"/>
      <c r="N122" s="22"/>
    </row>
    <row r="123" spans="2:14" s="13" customFormat="1" ht="15.75" customHeight="1" x14ac:dyDescent="0.25">
      <c r="B123" s="12" t="str">
        <f t="shared" si="0"/>
        <v xml:space="preserve">    </v>
      </c>
      <c r="C123" s="55"/>
      <c r="L123" s="22"/>
      <c r="M123" s="22"/>
      <c r="N123" s="22"/>
    </row>
    <row r="124" spans="2:14" s="13" customFormat="1" ht="15.75" customHeight="1" x14ac:dyDescent="0.25">
      <c r="B124" s="12" t="str">
        <f t="shared" si="0"/>
        <v xml:space="preserve">    </v>
      </c>
      <c r="C124" s="55"/>
      <c r="L124" s="22"/>
      <c r="M124" s="22"/>
      <c r="N124" s="22"/>
    </row>
    <row r="125" spans="2:14" s="13" customFormat="1" ht="15.75" customHeight="1" x14ac:dyDescent="0.25">
      <c r="B125" s="12" t="str">
        <f t="shared" si="0"/>
        <v xml:space="preserve">    </v>
      </c>
      <c r="C125" s="55"/>
      <c r="L125" s="22"/>
      <c r="M125" s="22"/>
      <c r="N125" s="22"/>
    </row>
    <row r="126" spans="2:14" s="13" customFormat="1" ht="15.75" customHeight="1" x14ac:dyDescent="0.25">
      <c r="B126" s="12" t="str">
        <f t="shared" si="0"/>
        <v xml:space="preserve">    </v>
      </c>
      <c r="C126" s="55"/>
      <c r="L126" s="22"/>
      <c r="M126" s="22"/>
      <c r="N126" s="22"/>
    </row>
    <row r="127" spans="2:14" s="13" customFormat="1" ht="15.75" customHeight="1" x14ac:dyDescent="0.25">
      <c r="B127" s="12" t="str">
        <f t="shared" si="0"/>
        <v xml:space="preserve">    </v>
      </c>
      <c r="C127" s="55"/>
      <c r="L127" s="22"/>
      <c r="M127" s="22"/>
      <c r="N127" s="22"/>
    </row>
    <row r="128" spans="2:14" s="13" customFormat="1" ht="15.75" customHeight="1" x14ac:dyDescent="0.25">
      <c r="B128" s="12" t="str">
        <f t="shared" si="0"/>
        <v xml:space="preserve">    </v>
      </c>
      <c r="C128" s="55"/>
      <c r="L128" s="22"/>
      <c r="M128" s="22"/>
      <c r="N128" s="22"/>
    </row>
    <row r="129" spans="2:14" s="13" customFormat="1" ht="15.75" customHeight="1" x14ac:dyDescent="0.25">
      <c r="B129" s="12" t="str">
        <f t="shared" si="0"/>
        <v xml:space="preserve">    </v>
      </c>
      <c r="C129" s="55"/>
      <c r="L129" s="22"/>
      <c r="M129" s="22"/>
      <c r="N129" s="22"/>
    </row>
    <row r="130" spans="2:14" s="13" customFormat="1" ht="15.75" customHeight="1" x14ac:dyDescent="0.25">
      <c r="B130" s="12" t="str">
        <f t="shared" si="0"/>
        <v xml:space="preserve">    </v>
      </c>
      <c r="C130" s="55"/>
      <c r="L130" s="22"/>
      <c r="M130" s="22"/>
      <c r="N130" s="22"/>
    </row>
    <row r="131" spans="2:14" s="13" customFormat="1" ht="15.75" customHeight="1" x14ac:dyDescent="0.25">
      <c r="B131" s="12" t="str">
        <f t="shared" si="0"/>
        <v xml:space="preserve">    </v>
      </c>
      <c r="C131" s="55"/>
      <c r="L131" s="22"/>
      <c r="M131" s="22"/>
      <c r="N131" s="22"/>
    </row>
    <row r="132" spans="2:14" s="13" customFormat="1" ht="15.75" customHeight="1" x14ac:dyDescent="0.25">
      <c r="B132" s="12" t="str">
        <f t="shared" si="0"/>
        <v xml:space="preserve">    </v>
      </c>
      <c r="C132" s="55"/>
      <c r="L132" s="22"/>
      <c r="M132" s="22"/>
      <c r="N132" s="22"/>
    </row>
    <row r="133" spans="2:14" s="13" customFormat="1" ht="15.75" customHeight="1" x14ac:dyDescent="0.25">
      <c r="B133" s="12" t="str">
        <f t="shared" si="0"/>
        <v xml:space="preserve">    </v>
      </c>
      <c r="C133" s="55"/>
      <c r="L133" s="22"/>
      <c r="M133" s="22"/>
      <c r="N133" s="22"/>
    </row>
    <row r="134" spans="2:14" s="13" customFormat="1" ht="15.75" customHeight="1" x14ac:dyDescent="0.25">
      <c r="B134" s="12" t="str">
        <f t="shared" si="0"/>
        <v xml:space="preserve">    </v>
      </c>
      <c r="C134" s="55"/>
      <c r="L134" s="22"/>
      <c r="M134" s="22"/>
      <c r="N134" s="22"/>
    </row>
    <row r="135" spans="2:14" s="13" customFormat="1" ht="15.75" customHeight="1" x14ac:dyDescent="0.25">
      <c r="B135" s="12" t="str">
        <f t="shared" si="0"/>
        <v xml:space="preserve">    </v>
      </c>
      <c r="C135" s="55"/>
      <c r="L135" s="22"/>
      <c r="M135" s="22"/>
      <c r="N135" s="22"/>
    </row>
    <row r="136" spans="2:14" s="13" customFormat="1" ht="15.75" customHeight="1" x14ac:dyDescent="0.25">
      <c r="B136" s="12" t="str">
        <f t="shared" si="0"/>
        <v xml:space="preserve">    </v>
      </c>
      <c r="C136" s="55"/>
      <c r="L136" s="22"/>
      <c r="M136" s="22"/>
      <c r="N136" s="22"/>
    </row>
    <row r="137" spans="2:14" s="13" customFormat="1" ht="15.75" customHeight="1" x14ac:dyDescent="0.25">
      <c r="B137" s="12" t="str">
        <f t="shared" si="0"/>
        <v xml:space="preserve">    </v>
      </c>
      <c r="C137" s="55"/>
      <c r="L137" s="22"/>
      <c r="M137" s="22"/>
      <c r="N137" s="22"/>
    </row>
    <row r="138" spans="2:14" s="13" customFormat="1" ht="15.75" customHeight="1" x14ac:dyDescent="0.25">
      <c r="B138" s="12" t="str">
        <f t="shared" si="0"/>
        <v xml:space="preserve">    </v>
      </c>
      <c r="C138" s="55"/>
      <c r="L138" s="22"/>
      <c r="M138" s="22"/>
      <c r="N138" s="22"/>
    </row>
    <row r="139" spans="2:14" s="13" customFormat="1" ht="15.75" customHeight="1" x14ac:dyDescent="0.25">
      <c r="B139" s="12" t="str">
        <f t="shared" si="0"/>
        <v xml:space="preserve">    </v>
      </c>
      <c r="C139" s="55"/>
      <c r="L139" s="22"/>
      <c r="M139" s="22"/>
      <c r="N139" s="22"/>
    </row>
    <row r="140" spans="2:14" s="13" customFormat="1" ht="15.75" customHeight="1" x14ac:dyDescent="0.25">
      <c r="B140" s="12" t="str">
        <f t="shared" si="0"/>
        <v xml:space="preserve">    </v>
      </c>
      <c r="C140" s="55"/>
      <c r="L140" s="22"/>
      <c r="M140" s="22"/>
      <c r="N140" s="22"/>
    </row>
    <row r="141" spans="2:14" s="13" customFormat="1" ht="15.75" customHeight="1" x14ac:dyDescent="0.25">
      <c r="B141" s="12" t="str">
        <f t="shared" si="0"/>
        <v xml:space="preserve">    </v>
      </c>
      <c r="C141" s="55"/>
      <c r="L141" s="22"/>
      <c r="M141" s="22"/>
      <c r="N141" s="22"/>
    </row>
    <row r="142" spans="2:14" s="13" customFormat="1" ht="15.75" customHeight="1" x14ac:dyDescent="0.25">
      <c r="B142" s="12" t="str">
        <f t="shared" si="0"/>
        <v xml:space="preserve">    </v>
      </c>
      <c r="C142" s="55"/>
      <c r="L142" s="22"/>
      <c r="M142" s="22"/>
      <c r="N142" s="22"/>
    </row>
    <row r="143" spans="2:14" s="13" customFormat="1" ht="15.75" customHeight="1" x14ac:dyDescent="0.25">
      <c r="B143" s="12" t="str">
        <f t="shared" si="0"/>
        <v xml:space="preserve">    </v>
      </c>
      <c r="C143" s="55"/>
      <c r="L143" s="22"/>
      <c r="M143" s="22"/>
      <c r="N143" s="22"/>
    </row>
    <row r="144" spans="2:14" s="13" customFormat="1" ht="15.75" customHeight="1" x14ac:dyDescent="0.25">
      <c r="B144" s="12" t="str">
        <f t="shared" si="0"/>
        <v xml:space="preserve">    </v>
      </c>
      <c r="C144" s="55"/>
      <c r="L144" s="22"/>
      <c r="M144" s="22"/>
      <c r="N144" s="22"/>
    </row>
    <row r="145" spans="2:14" s="13" customFormat="1" ht="15.75" customHeight="1" x14ac:dyDescent="0.25">
      <c r="B145" s="12" t="str">
        <f t="shared" si="0"/>
        <v xml:space="preserve">    </v>
      </c>
      <c r="C145" s="55"/>
      <c r="L145" s="22"/>
      <c r="M145" s="22"/>
      <c r="N145" s="22"/>
    </row>
    <row r="146" spans="2:14" s="13" customFormat="1" ht="15.75" customHeight="1" x14ac:dyDescent="0.25">
      <c r="B146" s="12" t="str">
        <f t="shared" si="0"/>
        <v xml:space="preserve">    </v>
      </c>
      <c r="C146" s="55"/>
      <c r="L146" s="22"/>
      <c r="M146" s="22"/>
      <c r="N146" s="22"/>
    </row>
    <row r="147" spans="2:14" s="13" customFormat="1" ht="15.75" customHeight="1" x14ac:dyDescent="0.25">
      <c r="B147" s="12" t="str">
        <f t="shared" si="0"/>
        <v xml:space="preserve">    </v>
      </c>
      <c r="C147" s="55"/>
      <c r="L147" s="22"/>
      <c r="M147" s="22"/>
      <c r="N147" s="22"/>
    </row>
    <row r="148" spans="2:14" s="13" customFormat="1" ht="15.75" customHeight="1" x14ac:dyDescent="0.25">
      <c r="B148" s="12" t="str">
        <f t="shared" si="0"/>
        <v xml:space="preserve">    </v>
      </c>
      <c r="C148" s="55"/>
      <c r="L148" s="22"/>
      <c r="M148" s="22"/>
      <c r="N148" s="22"/>
    </row>
    <row r="149" spans="2:14" s="13" customFormat="1" ht="15.75" customHeight="1" x14ac:dyDescent="0.25">
      <c r="B149" s="12" t="str">
        <f t="shared" si="0"/>
        <v xml:space="preserve">    </v>
      </c>
      <c r="C149" s="55"/>
      <c r="L149" s="22"/>
      <c r="M149" s="22"/>
      <c r="N149" s="22"/>
    </row>
    <row r="150" spans="2:14" s="13" customFormat="1" ht="15.75" customHeight="1" x14ac:dyDescent="0.25">
      <c r="B150" s="12" t="str">
        <f t="shared" si="0"/>
        <v xml:space="preserve">    </v>
      </c>
      <c r="C150" s="55"/>
      <c r="L150" s="22"/>
      <c r="M150" s="22"/>
      <c r="N150" s="22"/>
    </row>
    <row r="151" spans="2:14" s="13" customFormat="1" ht="15.75" customHeight="1" x14ac:dyDescent="0.25">
      <c r="B151" s="12" t="str">
        <f t="shared" si="0"/>
        <v xml:space="preserve">    </v>
      </c>
      <c r="C151" s="55"/>
      <c r="L151" s="22"/>
      <c r="M151" s="22"/>
      <c r="N151" s="22"/>
    </row>
    <row r="152" spans="2:14" s="13" customFormat="1" ht="15.75" customHeight="1" x14ac:dyDescent="0.25">
      <c r="B152" s="12" t="str">
        <f t="shared" si="0"/>
        <v xml:space="preserve">    </v>
      </c>
      <c r="C152" s="55"/>
      <c r="L152" s="22"/>
      <c r="M152" s="22"/>
      <c r="N152" s="22"/>
    </row>
    <row r="153" spans="2:14" s="13" customFormat="1" ht="15.75" customHeight="1" x14ac:dyDescent="0.25">
      <c r="B153" s="12" t="str">
        <f t="shared" si="0"/>
        <v xml:space="preserve">    </v>
      </c>
      <c r="C153" s="55"/>
      <c r="L153" s="22"/>
      <c r="M153" s="22"/>
      <c r="N153" s="22"/>
    </row>
    <row r="154" spans="2:14" s="13" customFormat="1" ht="15.75" customHeight="1" x14ac:dyDescent="0.25">
      <c r="B154" s="12" t="str">
        <f t="shared" si="0"/>
        <v xml:space="preserve">    </v>
      </c>
      <c r="C154" s="55"/>
      <c r="L154" s="22"/>
      <c r="M154" s="22"/>
      <c r="N154" s="22"/>
    </row>
    <row r="155" spans="2:14" s="13" customFormat="1" ht="15.75" customHeight="1" x14ac:dyDescent="0.25">
      <c r="B155" s="12" t="str">
        <f t="shared" si="0"/>
        <v xml:space="preserve">    </v>
      </c>
      <c r="C155" s="55"/>
      <c r="L155" s="22"/>
      <c r="M155" s="22"/>
      <c r="N155" s="22"/>
    </row>
    <row r="156" spans="2:14" s="13" customFormat="1" ht="15.75" customHeight="1" x14ac:dyDescent="0.25">
      <c r="B156" s="12" t="str">
        <f t="shared" si="0"/>
        <v xml:space="preserve">    </v>
      </c>
      <c r="C156" s="55"/>
      <c r="L156" s="22"/>
      <c r="M156" s="22"/>
      <c r="N156" s="22"/>
    </row>
    <row r="157" spans="2:14" s="13" customFormat="1" ht="15.75" customHeight="1" x14ac:dyDescent="0.25">
      <c r="B157" s="12" t="str">
        <f t="shared" si="0"/>
        <v xml:space="preserve">    </v>
      </c>
      <c r="C157" s="55"/>
      <c r="L157" s="22"/>
      <c r="M157" s="22"/>
      <c r="N157" s="22"/>
    </row>
    <row r="158" spans="2:14" s="13" customFormat="1" ht="15.75" customHeight="1" x14ac:dyDescent="0.25">
      <c r="B158" s="12" t="str">
        <f t="shared" si="0"/>
        <v xml:space="preserve">    </v>
      </c>
      <c r="C158" s="55"/>
      <c r="L158" s="22"/>
      <c r="M158" s="22"/>
      <c r="N158" s="22"/>
    </row>
    <row r="159" spans="2:14" s="13" customFormat="1" ht="15.75" customHeight="1" x14ac:dyDescent="0.25">
      <c r="B159" s="12" t="str">
        <f t="shared" si="0"/>
        <v xml:space="preserve">    </v>
      </c>
      <c r="C159" s="55"/>
      <c r="L159" s="22"/>
      <c r="M159" s="22"/>
      <c r="N159" s="22"/>
    </row>
    <row r="160" spans="2:14" s="13" customFormat="1" ht="15.75" customHeight="1" x14ac:dyDescent="0.25">
      <c r="B160" s="12" t="str">
        <f t="shared" si="0"/>
        <v xml:space="preserve">    </v>
      </c>
      <c r="C160" s="55"/>
      <c r="L160" s="22"/>
      <c r="M160" s="22"/>
      <c r="N160" s="22"/>
    </row>
    <row r="161" spans="2:14" s="13" customFormat="1" ht="15.75" customHeight="1" x14ac:dyDescent="0.25">
      <c r="B161" s="12" t="str">
        <f t="shared" si="0"/>
        <v xml:space="preserve">    </v>
      </c>
      <c r="C161" s="55"/>
      <c r="L161" s="22"/>
      <c r="M161" s="22"/>
      <c r="N161" s="22"/>
    </row>
    <row r="162" spans="2:14" s="13" customFormat="1" ht="15.75" customHeight="1" x14ac:dyDescent="0.25">
      <c r="B162" s="12" t="str">
        <f t="shared" si="0"/>
        <v xml:space="preserve">    </v>
      </c>
      <c r="C162" s="55"/>
      <c r="L162" s="22"/>
      <c r="M162" s="22"/>
      <c r="N162" s="22"/>
    </row>
    <row r="163" spans="2:14" s="13" customFormat="1" ht="15.75" customHeight="1" x14ac:dyDescent="0.25">
      <c r="B163" s="12" t="str">
        <f t="shared" si="0"/>
        <v xml:space="preserve">    </v>
      </c>
      <c r="C163" s="55"/>
      <c r="L163" s="22"/>
      <c r="M163" s="22"/>
      <c r="N163" s="22"/>
    </row>
    <row r="164" spans="2:14" s="13" customFormat="1" ht="15.75" customHeight="1" x14ac:dyDescent="0.25">
      <c r="B164" s="12" t="str">
        <f t="shared" si="0"/>
        <v xml:space="preserve">    </v>
      </c>
      <c r="C164" s="55"/>
      <c r="L164" s="22"/>
      <c r="M164" s="22"/>
      <c r="N164" s="22"/>
    </row>
    <row r="165" spans="2:14" s="13" customFormat="1" ht="15.75" customHeight="1" x14ac:dyDescent="0.25">
      <c r="B165" s="12" t="str">
        <f t="shared" si="0"/>
        <v xml:space="preserve">    </v>
      </c>
      <c r="C165" s="55"/>
      <c r="L165" s="22"/>
      <c r="M165" s="22"/>
      <c r="N165" s="22"/>
    </row>
    <row r="166" spans="2:14" s="13" customFormat="1" ht="15.75" customHeight="1" x14ac:dyDescent="0.25">
      <c r="B166" s="12" t="str">
        <f t="shared" si="0"/>
        <v xml:space="preserve">    </v>
      </c>
      <c r="C166" s="55"/>
      <c r="L166" s="22"/>
      <c r="M166" s="22"/>
      <c r="N166" s="22"/>
    </row>
    <row r="167" spans="2:14" s="13" customFormat="1" ht="15.75" customHeight="1" x14ac:dyDescent="0.25">
      <c r="B167" s="12" t="str">
        <f t="shared" si="0"/>
        <v xml:space="preserve">    </v>
      </c>
      <c r="C167" s="55"/>
      <c r="L167" s="22"/>
      <c r="M167" s="22"/>
      <c r="N167" s="22"/>
    </row>
    <row r="168" spans="2:14" s="13" customFormat="1" ht="15.75" customHeight="1" x14ac:dyDescent="0.25">
      <c r="B168" s="12" t="str">
        <f t="shared" si="0"/>
        <v xml:space="preserve">    </v>
      </c>
      <c r="C168" s="55"/>
      <c r="L168" s="22"/>
      <c r="M168" s="22"/>
      <c r="N168" s="22"/>
    </row>
    <row r="169" spans="2:14" s="13" customFormat="1" ht="15.75" customHeight="1" x14ac:dyDescent="0.25">
      <c r="B169" s="12" t="str">
        <f t="shared" si="0"/>
        <v xml:space="preserve">    </v>
      </c>
      <c r="C169" s="55"/>
      <c r="L169" s="22"/>
      <c r="M169" s="22"/>
      <c r="N169" s="22"/>
    </row>
    <row r="170" spans="2:14" s="13" customFormat="1" ht="15.75" customHeight="1" x14ac:dyDescent="0.25">
      <c r="B170" s="12" t="str">
        <f t="shared" si="0"/>
        <v xml:space="preserve">    </v>
      </c>
      <c r="C170" s="55"/>
      <c r="L170" s="22"/>
      <c r="M170" s="22"/>
      <c r="N170" s="22"/>
    </row>
    <row r="171" spans="2:14" s="13" customFormat="1" ht="15.75" customHeight="1" x14ac:dyDescent="0.25">
      <c r="B171" s="12" t="str">
        <f t="shared" si="0"/>
        <v xml:space="preserve">    </v>
      </c>
      <c r="C171" s="55"/>
      <c r="L171" s="22"/>
      <c r="M171" s="22"/>
      <c r="N171" s="22"/>
    </row>
    <row r="172" spans="2:14" s="13" customFormat="1" ht="15.75" customHeight="1" x14ac:dyDescent="0.25">
      <c r="B172" s="12" t="str">
        <f t="shared" si="0"/>
        <v xml:space="preserve">    </v>
      </c>
      <c r="C172" s="55"/>
      <c r="L172" s="22"/>
      <c r="M172" s="22"/>
      <c r="N172" s="22"/>
    </row>
    <row r="173" spans="2:14" s="13" customFormat="1" ht="15.75" customHeight="1" x14ac:dyDescent="0.25">
      <c r="B173" s="12" t="str">
        <f t="shared" si="0"/>
        <v xml:space="preserve">    </v>
      </c>
      <c r="C173" s="55"/>
      <c r="L173" s="22"/>
      <c r="M173" s="22"/>
      <c r="N173" s="22"/>
    </row>
    <row r="174" spans="2:14" s="13" customFormat="1" ht="15.75" customHeight="1" x14ac:dyDescent="0.25">
      <c r="B174" s="12" t="str">
        <f t="shared" si="0"/>
        <v xml:space="preserve">    </v>
      </c>
      <c r="C174" s="55"/>
      <c r="L174" s="22"/>
      <c r="M174" s="22"/>
      <c r="N174" s="22"/>
    </row>
    <row r="175" spans="2:14" s="13" customFormat="1" ht="15.75" customHeight="1" x14ac:dyDescent="0.25">
      <c r="B175" s="12" t="str">
        <f t="shared" si="0"/>
        <v xml:space="preserve">    </v>
      </c>
      <c r="C175" s="55"/>
      <c r="L175" s="22"/>
      <c r="M175" s="22"/>
      <c r="N175" s="22"/>
    </row>
    <row r="176" spans="2:14" s="13" customFormat="1" ht="15.75" customHeight="1" x14ac:dyDescent="0.25">
      <c r="B176" s="12" t="str">
        <f t="shared" si="0"/>
        <v xml:space="preserve">    </v>
      </c>
      <c r="C176" s="55"/>
      <c r="L176" s="22"/>
      <c r="M176" s="22"/>
      <c r="N176" s="22"/>
    </row>
    <row r="177" spans="2:14" s="13" customFormat="1" ht="15.75" customHeight="1" x14ac:dyDescent="0.25">
      <c r="B177" s="12" t="str">
        <f t="shared" si="0"/>
        <v xml:space="preserve">    </v>
      </c>
      <c r="C177" s="55"/>
      <c r="L177" s="22"/>
      <c r="M177" s="22"/>
      <c r="N177" s="22"/>
    </row>
    <row r="178" spans="2:14" s="13" customFormat="1" ht="15.75" customHeight="1" x14ac:dyDescent="0.25">
      <c r="B178" s="12" t="str">
        <f t="shared" si="0"/>
        <v xml:space="preserve">    </v>
      </c>
      <c r="C178" s="55"/>
      <c r="L178" s="22"/>
      <c r="M178" s="22"/>
      <c r="N178" s="22"/>
    </row>
    <row r="179" spans="2:14" s="13" customFormat="1" ht="15.75" customHeight="1" x14ac:dyDescent="0.25">
      <c r="B179" s="12" t="str">
        <f t="shared" si="0"/>
        <v xml:space="preserve">    </v>
      </c>
      <c r="C179" s="55"/>
      <c r="L179" s="22"/>
      <c r="M179" s="22"/>
      <c r="N179" s="22"/>
    </row>
    <row r="180" spans="2:14" s="13" customFormat="1" ht="15.75" customHeight="1" x14ac:dyDescent="0.25">
      <c r="B180" s="12" t="str">
        <f t="shared" si="0"/>
        <v xml:space="preserve">    </v>
      </c>
      <c r="C180" s="55"/>
      <c r="L180" s="22"/>
      <c r="M180" s="22"/>
      <c r="N180" s="22"/>
    </row>
    <row r="181" spans="2:14" s="13" customFormat="1" ht="15.75" customHeight="1" x14ac:dyDescent="0.25">
      <c r="B181" s="12" t="str">
        <f t="shared" si="0"/>
        <v xml:space="preserve">    </v>
      </c>
      <c r="C181" s="55"/>
      <c r="L181" s="22"/>
      <c r="M181" s="22"/>
      <c r="N181" s="22"/>
    </row>
    <row r="182" spans="2:14" s="13" customFormat="1" ht="15.75" customHeight="1" x14ac:dyDescent="0.25">
      <c r="B182" s="12" t="str">
        <f t="shared" si="0"/>
        <v xml:space="preserve">    </v>
      </c>
      <c r="C182" s="55"/>
      <c r="L182" s="22"/>
      <c r="M182" s="22"/>
      <c r="N182" s="22"/>
    </row>
    <row r="183" spans="2:14" s="13" customFormat="1" ht="15.75" customHeight="1" x14ac:dyDescent="0.25">
      <c r="B183" s="12" t="str">
        <f t="shared" si="0"/>
        <v xml:space="preserve">    </v>
      </c>
      <c r="C183" s="55"/>
      <c r="L183" s="22"/>
      <c r="M183" s="22"/>
      <c r="N183" s="22"/>
    </row>
    <row r="184" spans="2:14" s="13" customFormat="1" ht="15.75" customHeight="1" x14ac:dyDescent="0.25">
      <c r="B184" s="12" t="str">
        <f t="shared" si="0"/>
        <v xml:space="preserve">    </v>
      </c>
      <c r="C184" s="55"/>
      <c r="L184" s="22"/>
      <c r="M184" s="22"/>
      <c r="N184" s="22"/>
    </row>
    <row r="185" spans="2:14" s="13" customFormat="1" ht="15.75" customHeight="1" x14ac:dyDescent="0.25">
      <c r="B185" s="12" t="str">
        <f t="shared" si="0"/>
        <v xml:space="preserve">    </v>
      </c>
      <c r="C185" s="55"/>
      <c r="L185" s="22"/>
      <c r="M185" s="22"/>
      <c r="N185" s="22"/>
    </row>
    <row r="186" spans="2:14" s="13" customFormat="1" ht="15.75" customHeight="1" x14ac:dyDescent="0.25">
      <c r="B186" s="12" t="str">
        <f t="shared" si="0"/>
        <v xml:space="preserve">    </v>
      </c>
      <c r="C186" s="55"/>
      <c r="L186" s="22"/>
      <c r="M186" s="22"/>
      <c r="N186" s="22"/>
    </row>
    <row r="187" spans="2:14" s="13" customFormat="1" ht="15.75" customHeight="1" x14ac:dyDescent="0.25">
      <c r="B187" s="12" t="str">
        <f t="shared" si="0"/>
        <v xml:space="preserve">    </v>
      </c>
      <c r="C187" s="55"/>
      <c r="L187" s="22"/>
      <c r="M187" s="22"/>
      <c r="N187" s="22"/>
    </row>
    <row r="188" spans="2:14" s="13" customFormat="1" ht="15.75" customHeight="1" x14ac:dyDescent="0.25">
      <c r="B188" s="12" t="str">
        <f t="shared" si="0"/>
        <v xml:space="preserve">    </v>
      </c>
      <c r="C188" s="55"/>
      <c r="L188" s="22"/>
      <c r="M188" s="22"/>
      <c r="N188" s="22"/>
    </row>
    <row r="189" spans="2:14" s="13" customFormat="1" ht="15.75" customHeight="1" x14ac:dyDescent="0.25">
      <c r="B189" s="12" t="str">
        <f t="shared" si="0"/>
        <v xml:space="preserve">    </v>
      </c>
      <c r="C189" s="55"/>
      <c r="L189" s="22"/>
      <c r="M189" s="22"/>
      <c r="N189" s="22"/>
    </row>
    <row r="190" spans="2:14" s="13" customFormat="1" ht="15.75" customHeight="1" x14ac:dyDescent="0.25">
      <c r="B190" s="12" t="str">
        <f t="shared" si="0"/>
        <v xml:space="preserve">    </v>
      </c>
      <c r="C190" s="55"/>
      <c r="L190" s="22"/>
      <c r="M190" s="22"/>
      <c r="N190" s="22"/>
    </row>
    <row r="191" spans="2:14" s="13" customFormat="1" ht="15.75" customHeight="1" x14ac:dyDescent="0.25">
      <c r="B191" s="12" t="str">
        <f t="shared" si="0"/>
        <v xml:space="preserve">    </v>
      </c>
      <c r="C191" s="55"/>
      <c r="L191" s="22"/>
      <c r="M191" s="22"/>
      <c r="N191" s="22"/>
    </row>
    <row r="192" spans="2:14" s="13" customFormat="1" ht="15.75" customHeight="1" x14ac:dyDescent="0.25">
      <c r="B192" s="12" t="str">
        <f t="shared" si="0"/>
        <v xml:space="preserve">    </v>
      </c>
      <c r="C192" s="55"/>
      <c r="L192" s="22"/>
      <c r="M192" s="22"/>
      <c r="N192" s="22"/>
    </row>
    <row r="193" spans="2:14" s="13" customFormat="1" ht="15.75" customHeight="1" x14ac:dyDescent="0.25">
      <c r="B193" s="12" t="str">
        <f t="shared" si="0"/>
        <v xml:space="preserve">    </v>
      </c>
      <c r="C193" s="55"/>
      <c r="L193" s="22"/>
      <c r="M193" s="22"/>
      <c r="N193" s="22"/>
    </row>
    <row r="194" spans="2:14" s="13" customFormat="1" ht="15.75" customHeight="1" x14ac:dyDescent="0.25">
      <c r="B194" s="12" t="str">
        <f t="shared" si="0"/>
        <v xml:space="preserve">    </v>
      </c>
      <c r="C194" s="55"/>
      <c r="L194" s="22"/>
      <c r="M194" s="22"/>
      <c r="N194" s="22"/>
    </row>
    <row r="195" spans="2:14" s="13" customFormat="1" ht="15.75" customHeight="1" x14ac:dyDescent="0.25">
      <c r="B195" s="12" t="str">
        <f t="shared" si="0"/>
        <v xml:space="preserve">    </v>
      </c>
      <c r="C195" s="55"/>
      <c r="L195" s="22"/>
      <c r="M195" s="22"/>
      <c r="N195" s="22"/>
    </row>
    <row r="196" spans="2:14" s="13" customFormat="1" ht="15.75" customHeight="1" x14ac:dyDescent="0.25">
      <c r="B196" s="12" t="str">
        <f t="shared" si="0"/>
        <v xml:space="preserve">    </v>
      </c>
      <c r="C196" s="55"/>
      <c r="L196" s="22"/>
      <c r="M196" s="22"/>
      <c r="N196" s="22"/>
    </row>
    <row r="197" spans="2:14" s="13" customFormat="1" ht="15.75" customHeight="1" x14ac:dyDescent="0.25">
      <c r="B197" s="12" t="str">
        <f t="shared" si="0"/>
        <v xml:space="preserve">    </v>
      </c>
      <c r="C197" s="55"/>
      <c r="L197" s="22"/>
      <c r="M197" s="22"/>
      <c r="N197" s="22"/>
    </row>
    <row r="198" spans="2:14" s="13" customFormat="1" ht="15.75" customHeight="1" x14ac:dyDescent="0.25">
      <c r="B198" s="12" t="str">
        <f t="shared" si="0"/>
        <v xml:space="preserve">    </v>
      </c>
      <c r="C198" s="55"/>
      <c r="L198" s="22"/>
      <c r="M198" s="22"/>
      <c r="N198" s="22"/>
    </row>
    <row r="199" spans="2:14" s="13" customFormat="1" ht="15.75" customHeight="1" x14ac:dyDescent="0.25">
      <c r="B199" s="12" t="str">
        <f t="shared" si="0"/>
        <v xml:space="preserve">    </v>
      </c>
      <c r="C199" s="55"/>
      <c r="L199" s="22"/>
      <c r="M199" s="22"/>
      <c r="N199" s="22"/>
    </row>
    <row r="200" spans="2:14" s="13" customFormat="1" ht="15.75" customHeight="1" x14ac:dyDescent="0.25">
      <c r="B200" s="12" t="str">
        <f t="shared" si="0"/>
        <v xml:space="preserve">    </v>
      </c>
      <c r="C200" s="55"/>
      <c r="L200" s="22"/>
      <c r="M200" s="22"/>
      <c r="N200" s="22"/>
    </row>
    <row r="201" spans="2:14" s="13" customFormat="1" ht="15.75" customHeight="1" x14ac:dyDescent="0.25">
      <c r="C201" s="55"/>
      <c r="L201" s="22"/>
      <c r="M201" s="22"/>
      <c r="N201" s="22"/>
    </row>
    <row r="202" spans="2:14" s="13" customFormat="1" ht="15.75" customHeight="1" x14ac:dyDescent="0.25">
      <c r="C202" s="55"/>
      <c r="L202" s="22"/>
      <c r="M202" s="22"/>
      <c r="N202" s="22"/>
    </row>
    <row r="203" spans="2:14" s="13" customFormat="1" ht="15.75" customHeight="1" x14ac:dyDescent="0.25">
      <c r="C203" s="55"/>
      <c r="L203" s="22"/>
      <c r="M203" s="22"/>
      <c r="N203" s="22"/>
    </row>
    <row r="204" spans="2:14" s="13" customFormat="1" ht="15.75" customHeight="1" x14ac:dyDescent="0.25">
      <c r="C204" s="55"/>
      <c r="L204" s="22"/>
      <c r="M204" s="22"/>
      <c r="N204" s="22"/>
    </row>
    <row r="205" spans="2:14" s="13" customFormat="1" ht="15.75" customHeight="1" x14ac:dyDescent="0.25">
      <c r="C205" s="55"/>
      <c r="L205" s="22"/>
      <c r="M205" s="22"/>
      <c r="N205" s="22"/>
    </row>
    <row r="206" spans="2:14" s="13" customFormat="1" ht="15.75" customHeight="1" x14ac:dyDescent="0.25">
      <c r="C206" s="55"/>
      <c r="L206" s="22"/>
      <c r="M206" s="22"/>
      <c r="N206" s="22"/>
    </row>
    <row r="207" spans="2:14" s="13" customFormat="1" ht="15.75" customHeight="1" x14ac:dyDescent="0.25">
      <c r="C207" s="55"/>
      <c r="L207" s="22"/>
      <c r="M207" s="22"/>
      <c r="N207" s="22"/>
    </row>
    <row r="208" spans="2:14" s="13" customFormat="1" ht="15.75" customHeight="1" x14ac:dyDescent="0.25">
      <c r="C208" s="55"/>
      <c r="L208" s="22"/>
      <c r="M208" s="22"/>
      <c r="N208" s="22"/>
    </row>
    <row r="209" spans="3:14" s="21" customFormat="1" ht="15.75" customHeight="1" x14ac:dyDescent="0.25">
      <c r="C209" s="56"/>
      <c r="L209" s="23"/>
      <c r="M209" s="23"/>
      <c r="N209" s="23"/>
    </row>
    <row r="210" spans="3:14" s="21" customFormat="1" ht="15.75" customHeight="1" x14ac:dyDescent="0.25">
      <c r="C210" s="56"/>
      <c r="L210" s="23"/>
      <c r="M210" s="23"/>
      <c r="N210" s="23"/>
    </row>
    <row r="211" spans="3:14" s="21" customFormat="1" ht="15.75" customHeight="1" x14ac:dyDescent="0.25">
      <c r="C211" s="56"/>
      <c r="L211" s="23"/>
      <c r="M211" s="23"/>
      <c r="N211" s="23"/>
    </row>
    <row r="212" spans="3:14" s="21" customFormat="1" ht="15.75" customHeight="1" x14ac:dyDescent="0.25">
      <c r="C212" s="56"/>
      <c r="L212" s="23"/>
      <c r="M212" s="23"/>
      <c r="N212" s="23"/>
    </row>
    <row r="213" spans="3:14" s="21" customFormat="1" ht="15.75" customHeight="1" x14ac:dyDescent="0.25">
      <c r="C213" s="56"/>
      <c r="L213" s="23"/>
      <c r="M213" s="23"/>
      <c r="N213" s="23"/>
    </row>
    <row r="214" spans="3:14" s="21" customFormat="1" ht="15.75" customHeight="1" x14ac:dyDescent="0.25">
      <c r="C214" s="56"/>
      <c r="L214" s="23"/>
      <c r="M214" s="23"/>
      <c r="N214" s="23"/>
    </row>
    <row r="215" spans="3:14" s="21" customFormat="1" ht="15.75" customHeight="1" x14ac:dyDescent="0.25">
      <c r="C215" s="56"/>
      <c r="L215" s="23"/>
      <c r="M215" s="23"/>
      <c r="N215" s="23"/>
    </row>
    <row r="216" spans="3:14" s="21" customFormat="1" ht="15.75" customHeight="1" x14ac:dyDescent="0.25">
      <c r="C216" s="56"/>
      <c r="L216" s="23"/>
      <c r="M216" s="23"/>
      <c r="N216" s="23"/>
    </row>
    <row r="217" spans="3:14" s="21" customFormat="1" ht="15.75" customHeight="1" x14ac:dyDescent="0.25">
      <c r="C217" s="56"/>
      <c r="L217" s="23"/>
      <c r="M217" s="23"/>
      <c r="N217" s="23"/>
    </row>
    <row r="218" spans="3:14" s="21" customFormat="1" ht="15.75" customHeight="1" x14ac:dyDescent="0.25">
      <c r="C218" s="56"/>
      <c r="L218" s="23"/>
      <c r="M218" s="23"/>
      <c r="N218" s="23"/>
    </row>
    <row r="219" spans="3:14" s="21" customFormat="1" ht="15.75" customHeight="1" x14ac:dyDescent="0.25">
      <c r="C219" s="56"/>
      <c r="L219" s="23"/>
      <c r="M219" s="23"/>
      <c r="N219" s="23"/>
    </row>
    <row r="220" spans="3:14" s="21" customFormat="1" ht="15.75" customHeight="1" x14ac:dyDescent="0.25">
      <c r="C220" s="56"/>
      <c r="L220" s="23"/>
      <c r="M220" s="23"/>
      <c r="N220" s="23"/>
    </row>
    <row r="221" spans="3:14" s="21" customFormat="1" ht="15.75" customHeight="1" x14ac:dyDescent="0.25">
      <c r="C221" s="56"/>
      <c r="L221" s="23"/>
      <c r="M221" s="23"/>
      <c r="N221" s="23"/>
    </row>
    <row r="222" spans="3:14" s="21" customFormat="1" ht="15.75" customHeight="1" x14ac:dyDescent="0.25">
      <c r="C222" s="56"/>
      <c r="L222" s="23"/>
      <c r="M222" s="23"/>
      <c r="N222" s="23"/>
    </row>
    <row r="223" spans="3:14" s="21" customFormat="1" ht="15.75" customHeight="1" x14ac:dyDescent="0.25">
      <c r="C223" s="56"/>
      <c r="L223" s="23"/>
      <c r="M223" s="23"/>
      <c r="N223" s="23"/>
    </row>
    <row r="224" spans="3:14" s="21" customFormat="1" ht="15.75" customHeight="1" x14ac:dyDescent="0.25">
      <c r="C224" s="56"/>
      <c r="L224" s="23"/>
      <c r="M224" s="23"/>
      <c r="N224" s="23"/>
    </row>
    <row r="225" spans="3:14" s="21" customFormat="1" ht="15.75" customHeight="1" x14ac:dyDescent="0.25">
      <c r="C225" s="56"/>
      <c r="L225" s="23"/>
      <c r="M225" s="23"/>
      <c r="N225" s="23"/>
    </row>
    <row r="226" spans="3:14" s="21" customFormat="1" ht="15.75" customHeight="1" x14ac:dyDescent="0.25">
      <c r="C226" s="56"/>
      <c r="L226" s="23"/>
      <c r="M226" s="23"/>
      <c r="N226" s="23"/>
    </row>
    <row r="227" spans="3:14" s="21" customFormat="1" ht="15.75" customHeight="1" x14ac:dyDescent="0.25">
      <c r="C227" s="56"/>
      <c r="L227" s="23"/>
      <c r="M227" s="23"/>
      <c r="N227" s="23"/>
    </row>
    <row r="228" spans="3:14" s="21" customFormat="1" ht="15.75" customHeight="1" x14ac:dyDescent="0.25">
      <c r="C228" s="56"/>
      <c r="L228" s="23"/>
      <c r="M228" s="23"/>
      <c r="N228" s="23"/>
    </row>
    <row r="229" spans="3:14" s="21" customFormat="1" ht="15.75" customHeight="1" x14ac:dyDescent="0.25">
      <c r="C229" s="56"/>
      <c r="L229" s="23"/>
      <c r="M229" s="23"/>
      <c r="N229" s="23"/>
    </row>
    <row r="230" spans="3:14" s="21" customFormat="1" ht="15.75" customHeight="1" x14ac:dyDescent="0.25">
      <c r="C230" s="56"/>
      <c r="L230" s="23"/>
      <c r="M230" s="23"/>
      <c r="N230" s="23"/>
    </row>
    <row r="231" spans="3:14" s="21" customFormat="1" ht="15.75" customHeight="1" x14ac:dyDescent="0.25">
      <c r="C231" s="56"/>
      <c r="L231" s="23"/>
      <c r="M231" s="23"/>
      <c r="N231" s="23"/>
    </row>
    <row r="232" spans="3:14" s="21" customFormat="1" ht="15.75" customHeight="1" x14ac:dyDescent="0.25">
      <c r="C232" s="56"/>
      <c r="L232" s="23"/>
      <c r="M232" s="23"/>
      <c r="N232" s="23"/>
    </row>
    <row r="233" spans="3:14" s="21" customFormat="1" ht="15.75" customHeight="1" x14ac:dyDescent="0.25">
      <c r="C233" s="56"/>
      <c r="L233" s="23"/>
      <c r="M233" s="23"/>
      <c r="N233" s="23"/>
    </row>
    <row r="234" spans="3:14" s="21" customFormat="1" ht="15.75" customHeight="1" x14ac:dyDescent="0.25">
      <c r="C234" s="56"/>
      <c r="L234" s="23"/>
      <c r="M234" s="23"/>
      <c r="N234" s="23"/>
    </row>
    <row r="235" spans="3:14" s="21" customFormat="1" ht="15.75" customHeight="1" x14ac:dyDescent="0.25">
      <c r="C235" s="56"/>
      <c r="L235" s="23"/>
      <c r="M235" s="23"/>
      <c r="N235" s="23"/>
    </row>
    <row r="236" spans="3:14" s="21" customFormat="1" ht="15.75" customHeight="1" x14ac:dyDescent="0.25">
      <c r="C236" s="56"/>
      <c r="L236" s="23"/>
      <c r="M236" s="23"/>
      <c r="N236" s="23"/>
    </row>
    <row r="237" spans="3:14" s="21" customFormat="1" ht="15.75" customHeight="1" x14ac:dyDescent="0.25">
      <c r="C237" s="56"/>
      <c r="L237" s="23"/>
      <c r="M237" s="23"/>
      <c r="N237" s="23"/>
    </row>
    <row r="238" spans="3:14" s="21" customFormat="1" ht="15.75" customHeight="1" x14ac:dyDescent="0.25">
      <c r="C238" s="56"/>
      <c r="L238" s="23"/>
      <c r="M238" s="23"/>
      <c r="N238" s="23"/>
    </row>
    <row r="239" spans="3:14" s="21" customFormat="1" ht="15.75" customHeight="1" x14ac:dyDescent="0.25">
      <c r="C239" s="56"/>
      <c r="L239" s="23"/>
      <c r="M239" s="23"/>
      <c r="N239" s="23"/>
    </row>
    <row r="240" spans="3:14" s="21" customFormat="1" ht="15.75" customHeight="1" x14ac:dyDescent="0.25">
      <c r="C240" s="56"/>
      <c r="L240" s="23"/>
      <c r="M240" s="23"/>
      <c r="N240" s="23"/>
    </row>
    <row r="241" spans="3:14" s="21" customFormat="1" ht="15.75" customHeight="1" x14ac:dyDescent="0.25">
      <c r="C241" s="56"/>
      <c r="L241" s="23"/>
      <c r="M241" s="23"/>
      <c r="N241" s="23"/>
    </row>
    <row r="242" spans="3:14" s="21" customFormat="1" ht="15.75" customHeight="1" x14ac:dyDescent="0.25">
      <c r="C242" s="56"/>
      <c r="L242" s="23"/>
      <c r="M242" s="23"/>
      <c r="N242" s="23"/>
    </row>
    <row r="243" spans="3:14" s="21" customFormat="1" ht="15.75" customHeight="1" x14ac:dyDescent="0.25">
      <c r="C243" s="56"/>
      <c r="L243" s="23"/>
      <c r="M243" s="23"/>
      <c r="N243" s="23"/>
    </row>
    <row r="244" spans="3:14" s="21" customFormat="1" ht="15.75" customHeight="1" x14ac:dyDescent="0.25">
      <c r="C244" s="56"/>
      <c r="L244" s="23"/>
      <c r="M244" s="23"/>
      <c r="N244" s="23"/>
    </row>
    <row r="245" spans="3:14" s="21" customFormat="1" ht="15.75" customHeight="1" x14ac:dyDescent="0.25">
      <c r="C245" s="56"/>
      <c r="L245" s="23"/>
      <c r="M245" s="23"/>
      <c r="N245" s="23"/>
    </row>
    <row r="246" spans="3:14" s="21" customFormat="1" ht="15.75" customHeight="1" x14ac:dyDescent="0.25">
      <c r="C246" s="56"/>
      <c r="L246" s="23"/>
      <c r="M246" s="23"/>
      <c r="N246" s="23"/>
    </row>
    <row r="247" spans="3:14" s="21" customFormat="1" ht="15.75" customHeight="1" x14ac:dyDescent="0.25">
      <c r="C247" s="56"/>
      <c r="L247" s="23"/>
      <c r="M247" s="23"/>
      <c r="N247" s="23"/>
    </row>
    <row r="248" spans="3:14" s="21" customFormat="1" ht="15.75" customHeight="1" x14ac:dyDescent="0.25">
      <c r="C248" s="56"/>
      <c r="L248" s="23"/>
      <c r="M248" s="23"/>
      <c r="N248" s="23"/>
    </row>
    <row r="249" spans="3:14" s="21" customFormat="1" ht="15.75" customHeight="1" x14ac:dyDescent="0.25">
      <c r="C249" s="56"/>
      <c r="L249" s="23"/>
      <c r="M249" s="23"/>
      <c r="N249" s="23"/>
    </row>
    <row r="250" spans="3:14" s="21" customFormat="1" ht="15.75" customHeight="1" x14ac:dyDescent="0.25">
      <c r="C250" s="56"/>
      <c r="L250" s="23"/>
      <c r="M250" s="23"/>
      <c r="N250" s="23"/>
    </row>
    <row r="251" spans="3:14" s="21" customFormat="1" ht="15.75" customHeight="1" x14ac:dyDescent="0.25">
      <c r="C251" s="56"/>
      <c r="L251" s="23"/>
      <c r="M251" s="23"/>
      <c r="N251" s="23"/>
    </row>
    <row r="252" spans="3:14" s="21" customFormat="1" ht="15.75" customHeight="1" x14ac:dyDescent="0.25">
      <c r="C252" s="56"/>
      <c r="L252" s="23"/>
      <c r="M252" s="23"/>
      <c r="N252" s="23"/>
    </row>
    <row r="253" spans="3:14" s="21" customFormat="1" ht="15.75" customHeight="1" x14ac:dyDescent="0.25">
      <c r="C253" s="56"/>
      <c r="L253" s="23"/>
      <c r="M253" s="23"/>
      <c r="N253" s="23"/>
    </row>
    <row r="254" spans="3:14" s="21" customFormat="1" ht="15.75" customHeight="1" x14ac:dyDescent="0.25">
      <c r="C254" s="56"/>
      <c r="L254" s="23"/>
      <c r="M254" s="23"/>
      <c r="N254" s="23"/>
    </row>
    <row r="255" spans="3:14" s="21" customFormat="1" ht="15.75" customHeight="1" x14ac:dyDescent="0.25">
      <c r="C255" s="56"/>
      <c r="L255" s="23"/>
      <c r="M255" s="23"/>
      <c r="N255" s="23"/>
    </row>
    <row r="256" spans="3:14" s="21" customFormat="1" ht="15.75" customHeight="1" x14ac:dyDescent="0.25">
      <c r="C256" s="56"/>
      <c r="L256" s="23"/>
      <c r="M256" s="23"/>
      <c r="N256" s="23"/>
    </row>
    <row r="257" spans="3:14" s="21" customFormat="1" ht="15.75" customHeight="1" x14ac:dyDescent="0.25">
      <c r="C257" s="56"/>
      <c r="L257" s="23"/>
      <c r="M257" s="23"/>
      <c r="N257" s="23"/>
    </row>
    <row r="258" spans="3:14" s="21" customFormat="1" ht="15.75" customHeight="1" x14ac:dyDescent="0.25">
      <c r="C258" s="56"/>
      <c r="L258" s="23"/>
      <c r="M258" s="23"/>
      <c r="N258" s="23"/>
    </row>
    <row r="259" spans="3:14" s="21" customFormat="1" ht="15.75" customHeight="1" x14ac:dyDescent="0.25">
      <c r="C259" s="56"/>
      <c r="L259" s="23"/>
      <c r="M259" s="23"/>
      <c r="N259" s="23"/>
    </row>
    <row r="260" spans="3:14" s="21" customFormat="1" ht="15.75" customHeight="1" x14ac:dyDescent="0.25">
      <c r="C260" s="56"/>
      <c r="L260" s="23"/>
      <c r="M260" s="23"/>
      <c r="N260" s="23"/>
    </row>
    <row r="261" spans="3:14" s="21" customFormat="1" ht="15.75" customHeight="1" x14ac:dyDescent="0.25">
      <c r="C261" s="56"/>
      <c r="L261" s="23"/>
      <c r="M261" s="23"/>
      <c r="N261" s="23"/>
    </row>
    <row r="262" spans="3:14" s="21" customFormat="1" ht="15.75" customHeight="1" x14ac:dyDescent="0.25">
      <c r="C262" s="56"/>
      <c r="L262" s="23"/>
      <c r="M262" s="23"/>
      <c r="N262" s="23"/>
    </row>
    <row r="263" spans="3:14" s="21" customFormat="1" ht="15.75" customHeight="1" x14ac:dyDescent="0.25">
      <c r="C263" s="56"/>
      <c r="L263" s="23"/>
      <c r="M263" s="23"/>
      <c r="N263" s="23"/>
    </row>
    <row r="264" spans="3:14" s="21" customFormat="1" ht="15.75" customHeight="1" x14ac:dyDescent="0.25">
      <c r="C264" s="56"/>
      <c r="L264" s="23"/>
      <c r="M264" s="23"/>
      <c r="N264" s="23"/>
    </row>
    <row r="265" spans="3:14" s="21" customFormat="1" ht="15.75" customHeight="1" x14ac:dyDescent="0.25">
      <c r="C265" s="56"/>
      <c r="L265" s="23"/>
      <c r="M265" s="23"/>
      <c r="N265" s="23"/>
    </row>
    <row r="266" spans="3:14" s="21" customFormat="1" ht="15.75" customHeight="1" x14ac:dyDescent="0.25">
      <c r="C266" s="56"/>
      <c r="L266" s="23"/>
      <c r="M266" s="23"/>
      <c r="N266" s="23"/>
    </row>
    <row r="267" spans="3:14" s="21" customFormat="1" ht="15.75" customHeight="1" x14ac:dyDescent="0.25">
      <c r="C267" s="56"/>
      <c r="L267" s="23"/>
      <c r="M267" s="23"/>
      <c r="N267" s="23"/>
    </row>
    <row r="268" spans="3:14" s="21" customFormat="1" ht="15.75" customHeight="1" x14ac:dyDescent="0.25">
      <c r="C268" s="56"/>
      <c r="L268" s="23"/>
      <c r="M268" s="23"/>
      <c r="N268" s="23"/>
    </row>
    <row r="269" spans="3:14" s="21" customFormat="1" ht="15.75" customHeight="1" x14ac:dyDescent="0.25">
      <c r="C269" s="56"/>
      <c r="L269" s="23"/>
      <c r="M269" s="23"/>
      <c r="N269" s="23"/>
    </row>
    <row r="270" spans="3:14" s="21" customFormat="1" ht="15.75" customHeight="1" x14ac:dyDescent="0.25">
      <c r="C270" s="56"/>
      <c r="L270" s="23"/>
      <c r="M270" s="23"/>
      <c r="N270" s="23"/>
    </row>
    <row r="271" spans="3:14" s="21" customFormat="1" ht="15.75" customHeight="1" x14ac:dyDescent="0.25">
      <c r="C271" s="56"/>
      <c r="L271" s="23"/>
      <c r="M271" s="23"/>
      <c r="N271" s="23"/>
    </row>
    <row r="272" spans="3:14" s="21" customFormat="1" ht="15.75" customHeight="1" x14ac:dyDescent="0.25">
      <c r="C272" s="56"/>
      <c r="L272" s="23"/>
      <c r="M272" s="23"/>
      <c r="N272" s="23"/>
    </row>
    <row r="273" spans="3:14" s="21" customFormat="1" ht="15.75" customHeight="1" x14ac:dyDescent="0.25">
      <c r="C273" s="56"/>
      <c r="L273" s="23"/>
      <c r="M273" s="23"/>
      <c r="N273" s="23"/>
    </row>
    <row r="274" spans="3:14" s="21" customFormat="1" ht="15.75" customHeight="1" x14ac:dyDescent="0.25">
      <c r="C274" s="56"/>
      <c r="L274" s="23"/>
      <c r="M274" s="23"/>
      <c r="N274" s="23"/>
    </row>
    <row r="275" spans="3:14" s="21" customFormat="1" ht="15.75" customHeight="1" x14ac:dyDescent="0.25">
      <c r="C275" s="56"/>
      <c r="L275" s="23"/>
      <c r="M275" s="23"/>
      <c r="N275" s="23"/>
    </row>
    <row r="276" spans="3:14" s="21" customFormat="1" ht="15.75" customHeight="1" x14ac:dyDescent="0.25">
      <c r="C276" s="56"/>
      <c r="L276" s="23"/>
      <c r="M276" s="23"/>
      <c r="N276" s="23"/>
    </row>
    <row r="277" spans="3:14" s="21" customFormat="1" ht="15.75" customHeight="1" x14ac:dyDescent="0.25">
      <c r="C277" s="56"/>
      <c r="L277" s="23"/>
      <c r="M277" s="23"/>
      <c r="N277" s="23"/>
    </row>
    <row r="278" spans="3:14" s="21" customFormat="1" ht="15.75" customHeight="1" x14ac:dyDescent="0.25">
      <c r="C278" s="56"/>
      <c r="L278" s="23"/>
      <c r="M278" s="23"/>
      <c r="N278" s="23"/>
    </row>
    <row r="279" spans="3:14" s="21" customFormat="1" ht="15.75" customHeight="1" x14ac:dyDescent="0.25">
      <c r="C279" s="56"/>
      <c r="L279" s="23"/>
      <c r="M279" s="23"/>
      <c r="N279" s="23"/>
    </row>
    <row r="280" spans="3:14" s="21" customFormat="1" ht="15.75" customHeight="1" x14ac:dyDescent="0.25">
      <c r="C280" s="56"/>
      <c r="L280" s="23"/>
      <c r="M280" s="23"/>
      <c r="N280" s="23"/>
    </row>
    <row r="281" spans="3:14" s="21" customFormat="1" ht="15.75" customHeight="1" x14ac:dyDescent="0.25">
      <c r="C281" s="56"/>
      <c r="L281" s="23"/>
      <c r="M281" s="23"/>
      <c r="N281" s="23"/>
    </row>
    <row r="282" spans="3:14" s="21" customFormat="1" ht="15.75" customHeight="1" x14ac:dyDescent="0.25">
      <c r="C282" s="56"/>
      <c r="L282" s="23"/>
      <c r="M282" s="23"/>
      <c r="N282" s="23"/>
    </row>
    <row r="283" spans="3:14" s="21" customFormat="1" ht="15.75" customHeight="1" x14ac:dyDescent="0.25">
      <c r="C283" s="56"/>
      <c r="L283" s="23"/>
      <c r="M283" s="23"/>
      <c r="N283" s="23"/>
    </row>
    <row r="284" spans="3:14" s="21" customFormat="1" ht="15.75" customHeight="1" x14ac:dyDescent="0.25">
      <c r="C284" s="56"/>
      <c r="L284" s="23"/>
      <c r="M284" s="23"/>
      <c r="N284" s="23"/>
    </row>
    <row r="285" spans="3:14" s="21" customFormat="1" ht="15.75" customHeight="1" x14ac:dyDescent="0.25">
      <c r="C285" s="56"/>
      <c r="L285" s="23"/>
      <c r="M285" s="23"/>
      <c r="N285" s="23"/>
    </row>
    <row r="286" spans="3:14" s="21" customFormat="1" ht="15.75" customHeight="1" x14ac:dyDescent="0.25">
      <c r="C286" s="56"/>
      <c r="L286" s="23"/>
      <c r="M286" s="23"/>
      <c r="N286" s="23"/>
    </row>
    <row r="287" spans="3:14" s="21" customFormat="1" ht="15.75" customHeight="1" x14ac:dyDescent="0.25">
      <c r="C287" s="56"/>
      <c r="L287" s="23"/>
      <c r="M287" s="23"/>
      <c r="N287" s="23"/>
    </row>
    <row r="288" spans="3:14" s="21" customFormat="1" ht="15.75" customHeight="1" x14ac:dyDescent="0.25">
      <c r="C288" s="56"/>
      <c r="L288" s="23"/>
      <c r="M288" s="23"/>
      <c r="N288" s="23"/>
    </row>
    <row r="289" spans="3:14" s="21" customFormat="1" ht="15.75" customHeight="1" x14ac:dyDescent="0.25">
      <c r="C289" s="56"/>
      <c r="L289" s="23"/>
      <c r="M289" s="23"/>
      <c r="N289" s="23"/>
    </row>
    <row r="290" spans="3:14" s="21" customFormat="1" ht="15.75" customHeight="1" x14ac:dyDescent="0.25">
      <c r="C290" s="56"/>
      <c r="L290" s="23"/>
      <c r="M290" s="23"/>
      <c r="N290" s="23"/>
    </row>
    <row r="291" spans="3:14" s="21" customFormat="1" ht="15.75" customHeight="1" x14ac:dyDescent="0.25">
      <c r="C291" s="56"/>
      <c r="L291" s="23"/>
      <c r="M291" s="23"/>
      <c r="N291" s="23"/>
    </row>
    <row r="292" spans="3:14" s="21" customFormat="1" ht="15.75" customHeight="1" x14ac:dyDescent="0.25">
      <c r="C292" s="56"/>
      <c r="L292" s="23"/>
      <c r="M292" s="23"/>
      <c r="N292" s="23"/>
    </row>
    <row r="293" spans="3:14" s="21" customFormat="1" ht="15.75" customHeight="1" x14ac:dyDescent="0.25">
      <c r="C293" s="56"/>
      <c r="L293" s="23"/>
      <c r="M293" s="23"/>
      <c r="N293" s="23"/>
    </row>
    <row r="294" spans="3:14" s="21" customFormat="1" ht="15.75" customHeight="1" x14ac:dyDescent="0.25">
      <c r="C294" s="56"/>
      <c r="L294" s="23"/>
      <c r="M294" s="23"/>
      <c r="N294" s="23"/>
    </row>
    <row r="295" spans="3:14" s="21" customFormat="1" ht="15.75" customHeight="1" x14ac:dyDescent="0.25">
      <c r="C295" s="56"/>
      <c r="L295" s="23"/>
      <c r="M295" s="23"/>
      <c r="N295" s="23"/>
    </row>
    <row r="296" spans="3:14" s="21" customFormat="1" ht="15.75" customHeight="1" x14ac:dyDescent="0.25">
      <c r="C296" s="56"/>
      <c r="L296" s="23"/>
      <c r="M296" s="23"/>
      <c r="N296" s="23"/>
    </row>
    <row r="297" spans="3:14" s="21" customFormat="1" ht="15.75" customHeight="1" x14ac:dyDescent="0.25">
      <c r="C297" s="56"/>
      <c r="L297" s="23"/>
      <c r="M297" s="23"/>
      <c r="N297" s="23"/>
    </row>
    <row r="298" spans="3:14" s="21" customFormat="1" ht="15.75" customHeight="1" x14ac:dyDescent="0.25">
      <c r="C298" s="56"/>
      <c r="L298" s="23"/>
      <c r="M298" s="23"/>
      <c r="N298" s="23"/>
    </row>
    <row r="299" spans="3:14" s="21" customFormat="1" ht="15.75" customHeight="1" x14ac:dyDescent="0.25">
      <c r="C299" s="56"/>
      <c r="L299" s="23"/>
      <c r="M299" s="23"/>
      <c r="N299" s="23"/>
    </row>
    <row r="300" spans="3:14" s="21" customFormat="1" ht="15.75" customHeight="1" x14ac:dyDescent="0.25">
      <c r="C300" s="56"/>
      <c r="L300" s="23"/>
      <c r="M300" s="23"/>
      <c r="N300" s="23"/>
    </row>
    <row r="301" spans="3:14" s="21" customFormat="1" ht="15.75" customHeight="1" x14ac:dyDescent="0.25">
      <c r="C301" s="56"/>
      <c r="L301" s="23"/>
      <c r="M301" s="23"/>
      <c r="N301" s="23"/>
    </row>
    <row r="302" spans="3:14" s="21" customFormat="1" ht="15.75" customHeight="1" x14ac:dyDescent="0.25">
      <c r="C302" s="56"/>
      <c r="L302" s="23"/>
      <c r="M302" s="23"/>
      <c r="N302" s="23"/>
    </row>
    <row r="303" spans="3:14" s="21" customFormat="1" ht="15.75" customHeight="1" x14ac:dyDescent="0.25">
      <c r="C303" s="56"/>
      <c r="L303" s="23"/>
      <c r="M303" s="23"/>
      <c r="N303" s="23"/>
    </row>
    <row r="304" spans="3:14" s="21" customFormat="1" ht="15.75" customHeight="1" x14ac:dyDescent="0.25">
      <c r="C304" s="56"/>
      <c r="L304" s="23"/>
      <c r="M304" s="23"/>
      <c r="N304" s="23"/>
    </row>
    <row r="305" spans="3:14" s="21" customFormat="1" ht="15.75" customHeight="1" x14ac:dyDescent="0.25">
      <c r="C305" s="56"/>
      <c r="L305" s="23"/>
      <c r="M305" s="23"/>
      <c r="N305" s="23"/>
    </row>
    <row r="306" spans="3:14" s="21" customFormat="1" ht="15.75" customHeight="1" x14ac:dyDescent="0.25">
      <c r="C306" s="56"/>
      <c r="L306" s="23"/>
      <c r="M306" s="23"/>
      <c r="N306" s="23"/>
    </row>
    <row r="307" spans="3:14" s="21" customFormat="1" ht="15.75" customHeight="1" x14ac:dyDescent="0.25">
      <c r="C307" s="56"/>
      <c r="L307" s="23"/>
      <c r="M307" s="23"/>
      <c r="N307" s="23"/>
    </row>
    <row r="308" spans="3:14" s="21" customFormat="1" ht="15.75" customHeight="1" x14ac:dyDescent="0.25">
      <c r="C308" s="56"/>
      <c r="L308" s="23"/>
      <c r="M308" s="23"/>
      <c r="N308" s="23"/>
    </row>
    <row r="309" spans="3:14" s="21" customFormat="1" ht="15.75" customHeight="1" x14ac:dyDescent="0.25">
      <c r="C309" s="56"/>
      <c r="L309" s="23"/>
      <c r="M309" s="23"/>
      <c r="N309" s="23"/>
    </row>
    <row r="310" spans="3:14" s="21" customFormat="1" ht="15.75" customHeight="1" x14ac:dyDescent="0.25">
      <c r="C310" s="56"/>
      <c r="L310" s="23"/>
      <c r="M310" s="23"/>
      <c r="N310" s="23"/>
    </row>
    <row r="311" spans="3:14" s="21" customFormat="1" ht="15.75" customHeight="1" x14ac:dyDescent="0.25">
      <c r="C311" s="56"/>
      <c r="L311" s="23"/>
      <c r="M311" s="23"/>
      <c r="N311" s="23"/>
    </row>
    <row r="312" spans="3:14" s="21" customFormat="1" ht="15.75" customHeight="1" x14ac:dyDescent="0.25">
      <c r="C312" s="56"/>
      <c r="L312" s="23"/>
      <c r="M312" s="23"/>
      <c r="N312" s="23"/>
    </row>
    <row r="313" spans="3:14" s="21" customFormat="1" ht="15.75" customHeight="1" x14ac:dyDescent="0.25">
      <c r="C313" s="56"/>
      <c r="L313" s="23"/>
      <c r="M313" s="23"/>
      <c r="N313" s="23"/>
    </row>
    <row r="314" spans="3:14" s="21" customFormat="1" ht="15.75" customHeight="1" x14ac:dyDescent="0.25">
      <c r="C314" s="56"/>
      <c r="L314" s="23"/>
      <c r="M314" s="23"/>
      <c r="N314" s="23"/>
    </row>
    <row r="315" spans="3:14" s="21" customFormat="1" ht="15.75" customHeight="1" x14ac:dyDescent="0.25">
      <c r="C315" s="56"/>
      <c r="L315" s="23"/>
      <c r="M315" s="23"/>
      <c r="N315" s="23"/>
    </row>
    <row r="316" spans="3:14" s="21" customFormat="1" ht="15.75" customHeight="1" x14ac:dyDescent="0.25">
      <c r="C316" s="56"/>
      <c r="L316" s="23"/>
      <c r="M316" s="23"/>
      <c r="N316" s="23"/>
    </row>
    <row r="317" spans="3:14" s="21" customFormat="1" ht="15.75" customHeight="1" x14ac:dyDescent="0.25">
      <c r="C317" s="56"/>
      <c r="L317" s="23"/>
      <c r="M317" s="23"/>
      <c r="N317" s="23"/>
    </row>
    <row r="318" spans="3:14" s="21" customFormat="1" ht="15.75" customHeight="1" x14ac:dyDescent="0.25">
      <c r="C318" s="56"/>
      <c r="L318" s="23"/>
      <c r="M318" s="23"/>
      <c r="N318" s="23"/>
    </row>
    <row r="319" spans="3:14" s="21" customFormat="1" ht="15.75" customHeight="1" x14ac:dyDescent="0.25">
      <c r="C319" s="56"/>
      <c r="L319" s="23"/>
      <c r="M319" s="23"/>
      <c r="N319" s="23"/>
    </row>
    <row r="320" spans="3:14" s="21" customFormat="1" ht="15.75" customHeight="1" x14ac:dyDescent="0.25">
      <c r="C320" s="56"/>
      <c r="L320" s="23"/>
      <c r="M320" s="23"/>
      <c r="N320" s="23"/>
    </row>
    <row r="321" spans="3:14" s="21" customFormat="1" ht="15.75" customHeight="1" x14ac:dyDescent="0.25">
      <c r="C321" s="56"/>
      <c r="L321" s="23"/>
      <c r="M321" s="23"/>
      <c r="N321" s="23"/>
    </row>
    <row r="322" spans="3:14" s="21" customFormat="1" ht="15.75" customHeight="1" x14ac:dyDescent="0.25">
      <c r="C322" s="56"/>
      <c r="L322" s="23"/>
      <c r="M322" s="23"/>
      <c r="N322" s="23"/>
    </row>
    <row r="323" spans="3:14" s="21" customFormat="1" ht="15.75" customHeight="1" x14ac:dyDescent="0.25">
      <c r="C323" s="56"/>
      <c r="L323" s="23"/>
      <c r="M323" s="23"/>
      <c r="N323" s="23"/>
    </row>
    <row r="324" spans="3:14" s="21" customFormat="1" ht="15.75" customHeight="1" x14ac:dyDescent="0.25">
      <c r="C324" s="56"/>
      <c r="L324" s="23"/>
      <c r="M324" s="23"/>
      <c r="N324" s="23"/>
    </row>
    <row r="325" spans="3:14" s="21" customFormat="1" ht="15.75" customHeight="1" x14ac:dyDescent="0.25">
      <c r="C325" s="56"/>
      <c r="L325" s="23"/>
      <c r="M325" s="23"/>
      <c r="N325" s="23"/>
    </row>
    <row r="326" spans="3:14" s="21" customFormat="1" ht="15.75" customHeight="1" x14ac:dyDescent="0.25">
      <c r="C326" s="56"/>
      <c r="L326" s="23"/>
      <c r="M326" s="23"/>
      <c r="N326" s="23"/>
    </row>
    <row r="327" spans="3:14" s="21" customFormat="1" ht="15.75" customHeight="1" x14ac:dyDescent="0.25">
      <c r="C327" s="56"/>
      <c r="L327" s="23"/>
      <c r="M327" s="23"/>
      <c r="N327" s="23"/>
    </row>
    <row r="328" spans="3:14" s="21" customFormat="1" ht="15.75" customHeight="1" x14ac:dyDescent="0.25">
      <c r="C328" s="56"/>
      <c r="L328" s="23"/>
      <c r="M328" s="23"/>
      <c r="N328" s="23"/>
    </row>
    <row r="329" spans="3:14" s="21" customFormat="1" ht="15.75" customHeight="1" x14ac:dyDescent="0.25">
      <c r="C329" s="56"/>
      <c r="L329" s="23"/>
      <c r="M329" s="23"/>
      <c r="N329" s="23"/>
    </row>
    <row r="330" spans="3:14" s="21" customFormat="1" ht="15.75" customHeight="1" x14ac:dyDescent="0.25">
      <c r="C330" s="56"/>
      <c r="L330" s="23"/>
      <c r="M330" s="23"/>
      <c r="N330" s="23"/>
    </row>
    <row r="331" spans="3:14" s="21" customFormat="1" ht="15.75" customHeight="1" x14ac:dyDescent="0.25">
      <c r="C331" s="56"/>
      <c r="L331" s="23"/>
      <c r="M331" s="23"/>
      <c r="N331" s="23"/>
    </row>
    <row r="332" spans="3:14" s="21" customFormat="1" ht="15.75" customHeight="1" x14ac:dyDescent="0.25">
      <c r="C332" s="56"/>
      <c r="L332" s="23"/>
      <c r="M332" s="23"/>
      <c r="N332" s="23"/>
    </row>
    <row r="333" spans="3:14" s="21" customFormat="1" ht="15.75" customHeight="1" x14ac:dyDescent="0.25">
      <c r="C333" s="56"/>
      <c r="L333" s="23"/>
      <c r="M333" s="23"/>
      <c r="N333" s="23"/>
    </row>
    <row r="334" spans="3:14" s="21" customFormat="1" ht="15.75" customHeight="1" x14ac:dyDescent="0.25">
      <c r="C334" s="56"/>
      <c r="L334" s="23"/>
      <c r="M334" s="23"/>
      <c r="N334" s="23"/>
    </row>
    <row r="335" spans="3:14" s="21" customFormat="1" ht="15.75" customHeight="1" x14ac:dyDescent="0.25">
      <c r="C335" s="56"/>
      <c r="L335" s="23"/>
      <c r="M335" s="23"/>
      <c r="N335" s="23"/>
    </row>
    <row r="336" spans="3:14" s="21" customFormat="1" ht="15.75" customHeight="1" x14ac:dyDescent="0.25">
      <c r="C336" s="56"/>
      <c r="L336" s="23"/>
      <c r="M336" s="23"/>
      <c r="N336" s="23"/>
    </row>
    <row r="337" spans="3:14" s="21" customFormat="1" ht="15.75" customHeight="1" x14ac:dyDescent="0.25">
      <c r="C337" s="56"/>
      <c r="L337" s="23"/>
      <c r="M337" s="23"/>
      <c r="N337" s="23"/>
    </row>
    <row r="338" spans="3:14" s="21" customFormat="1" ht="15.75" customHeight="1" x14ac:dyDescent="0.25">
      <c r="C338" s="56"/>
      <c r="L338" s="23"/>
      <c r="M338" s="23"/>
      <c r="N338" s="23"/>
    </row>
    <row r="339" spans="3:14" s="21" customFormat="1" ht="15.75" customHeight="1" x14ac:dyDescent="0.25">
      <c r="C339" s="56"/>
      <c r="L339" s="23"/>
      <c r="M339" s="23"/>
      <c r="N339" s="23"/>
    </row>
    <row r="340" spans="3:14" s="21" customFormat="1" ht="15.75" customHeight="1" x14ac:dyDescent="0.25">
      <c r="C340" s="56"/>
      <c r="L340" s="23"/>
      <c r="M340" s="23"/>
      <c r="N340" s="23"/>
    </row>
    <row r="341" spans="3:14" s="21" customFormat="1" ht="15.75" customHeight="1" x14ac:dyDescent="0.25">
      <c r="C341" s="56"/>
      <c r="L341" s="23"/>
      <c r="M341" s="23"/>
      <c r="N341" s="23"/>
    </row>
    <row r="342" spans="3:14" s="21" customFormat="1" ht="15.75" customHeight="1" x14ac:dyDescent="0.25">
      <c r="C342" s="56"/>
      <c r="L342" s="23"/>
      <c r="M342" s="23"/>
      <c r="N342" s="23"/>
    </row>
    <row r="343" spans="3:14" s="21" customFormat="1" ht="15.75" customHeight="1" x14ac:dyDescent="0.25">
      <c r="C343" s="56"/>
      <c r="L343" s="23"/>
      <c r="M343" s="23"/>
      <c r="N343" s="23"/>
    </row>
    <row r="344" spans="3:14" s="21" customFormat="1" ht="15.75" customHeight="1" x14ac:dyDescent="0.25">
      <c r="C344" s="56"/>
      <c r="L344" s="23"/>
      <c r="M344" s="23"/>
      <c r="N344" s="23"/>
    </row>
    <row r="345" spans="3:14" s="21" customFormat="1" ht="15.75" customHeight="1" x14ac:dyDescent="0.25">
      <c r="C345" s="56"/>
      <c r="L345" s="23"/>
      <c r="M345" s="23"/>
      <c r="N345" s="23"/>
    </row>
    <row r="346" spans="3:14" s="21" customFormat="1" ht="15.75" customHeight="1" x14ac:dyDescent="0.25">
      <c r="C346" s="56"/>
      <c r="L346" s="23"/>
      <c r="M346" s="23"/>
      <c r="N346" s="23"/>
    </row>
    <row r="347" spans="3:14" s="21" customFormat="1" ht="15.75" customHeight="1" x14ac:dyDescent="0.25">
      <c r="C347" s="56"/>
      <c r="L347" s="23"/>
      <c r="M347" s="23"/>
      <c r="N347" s="23"/>
    </row>
    <row r="348" spans="3:14" s="21" customFormat="1" ht="15.75" customHeight="1" x14ac:dyDescent="0.25">
      <c r="C348" s="56"/>
      <c r="L348" s="23"/>
      <c r="M348" s="23"/>
      <c r="N348" s="23"/>
    </row>
    <row r="349" spans="3:14" s="21" customFormat="1" ht="15.75" customHeight="1" x14ac:dyDescent="0.25">
      <c r="C349" s="56"/>
      <c r="L349" s="23"/>
      <c r="M349" s="23"/>
      <c r="N349" s="23"/>
    </row>
    <row r="350" spans="3:14" s="21" customFormat="1" ht="15.75" customHeight="1" x14ac:dyDescent="0.25">
      <c r="C350" s="56"/>
      <c r="L350" s="23"/>
      <c r="M350" s="23"/>
      <c r="N350" s="23"/>
    </row>
    <row r="351" spans="3:14" s="21" customFormat="1" ht="15.75" customHeight="1" x14ac:dyDescent="0.25">
      <c r="C351" s="56"/>
      <c r="L351" s="23"/>
      <c r="M351" s="23"/>
      <c r="N351" s="23"/>
    </row>
    <row r="352" spans="3:14" s="21" customFormat="1" ht="15.75" customHeight="1" x14ac:dyDescent="0.25">
      <c r="C352" s="56"/>
      <c r="L352" s="23"/>
      <c r="M352" s="23"/>
      <c r="N352" s="23"/>
    </row>
    <row r="353" spans="3:14" s="21" customFormat="1" ht="15.75" customHeight="1" x14ac:dyDescent="0.25">
      <c r="C353" s="56"/>
      <c r="L353" s="23"/>
      <c r="M353" s="23"/>
      <c r="N353" s="23"/>
    </row>
    <row r="354" spans="3:14" s="21" customFormat="1" ht="15.75" customHeight="1" x14ac:dyDescent="0.25">
      <c r="C354" s="56"/>
      <c r="L354" s="23"/>
      <c r="M354" s="23"/>
      <c r="N354" s="23"/>
    </row>
    <row r="355" spans="3:14" s="21" customFormat="1" ht="15.75" customHeight="1" x14ac:dyDescent="0.25">
      <c r="C355" s="56"/>
      <c r="L355" s="23"/>
      <c r="M355" s="23"/>
      <c r="N355" s="23"/>
    </row>
    <row r="356" spans="3:14" s="21" customFormat="1" ht="15.75" customHeight="1" x14ac:dyDescent="0.25">
      <c r="C356" s="56"/>
      <c r="L356" s="23"/>
      <c r="M356" s="23"/>
      <c r="N356" s="23"/>
    </row>
    <row r="357" spans="3:14" s="21" customFormat="1" ht="15.75" customHeight="1" x14ac:dyDescent="0.25">
      <c r="C357" s="56"/>
      <c r="L357" s="23"/>
      <c r="M357" s="23"/>
      <c r="N357" s="23"/>
    </row>
    <row r="358" spans="3:14" s="21" customFormat="1" ht="15.75" customHeight="1" x14ac:dyDescent="0.25">
      <c r="C358" s="56"/>
      <c r="L358" s="23"/>
      <c r="M358" s="23"/>
      <c r="N358" s="23"/>
    </row>
    <row r="359" spans="3:14" s="21" customFormat="1" ht="15.75" customHeight="1" x14ac:dyDescent="0.25">
      <c r="C359" s="56"/>
      <c r="L359" s="23"/>
      <c r="M359" s="23"/>
      <c r="N359" s="23"/>
    </row>
    <row r="360" spans="3:14" s="21" customFormat="1" ht="15.75" customHeight="1" x14ac:dyDescent="0.25">
      <c r="C360" s="56"/>
      <c r="L360" s="23"/>
      <c r="M360" s="23"/>
      <c r="N360" s="23"/>
    </row>
    <row r="361" spans="3:14" s="21" customFormat="1" ht="15.75" customHeight="1" x14ac:dyDescent="0.25">
      <c r="C361" s="56"/>
      <c r="L361" s="23"/>
      <c r="M361" s="23"/>
      <c r="N361" s="23"/>
    </row>
    <row r="362" spans="3:14" s="21" customFormat="1" ht="15.75" customHeight="1" x14ac:dyDescent="0.25">
      <c r="C362" s="56"/>
      <c r="L362" s="23"/>
      <c r="M362" s="23"/>
      <c r="N362" s="23"/>
    </row>
    <row r="363" spans="3:14" s="21" customFormat="1" ht="15.75" customHeight="1" x14ac:dyDescent="0.25">
      <c r="C363" s="56"/>
      <c r="L363" s="23"/>
      <c r="M363" s="23"/>
      <c r="N363" s="23"/>
    </row>
    <row r="364" spans="3:14" s="21" customFormat="1" ht="15.75" customHeight="1" x14ac:dyDescent="0.25">
      <c r="C364" s="56"/>
      <c r="L364" s="23"/>
      <c r="M364" s="23"/>
      <c r="N364" s="23"/>
    </row>
    <row r="365" spans="3:14" s="21" customFormat="1" ht="15.75" customHeight="1" x14ac:dyDescent="0.25">
      <c r="C365" s="56"/>
      <c r="L365" s="23"/>
      <c r="M365" s="23"/>
      <c r="N365" s="23"/>
    </row>
    <row r="366" spans="3:14" s="21" customFormat="1" ht="15.75" customHeight="1" x14ac:dyDescent="0.25">
      <c r="C366" s="56"/>
      <c r="L366" s="23"/>
      <c r="M366" s="23"/>
      <c r="N366" s="23"/>
    </row>
    <row r="367" spans="3:14" s="21" customFormat="1" ht="15.75" customHeight="1" x14ac:dyDescent="0.25">
      <c r="C367" s="56"/>
      <c r="L367" s="23"/>
      <c r="M367" s="23"/>
      <c r="N367" s="23"/>
    </row>
    <row r="368" spans="3:14" s="21" customFormat="1" ht="15.75" customHeight="1" x14ac:dyDescent="0.25">
      <c r="C368" s="56"/>
      <c r="L368" s="23"/>
      <c r="M368" s="23"/>
      <c r="N368" s="23"/>
    </row>
    <row r="369" spans="3:14" s="21" customFormat="1" ht="15.75" customHeight="1" x14ac:dyDescent="0.25">
      <c r="C369" s="56"/>
      <c r="L369" s="23"/>
      <c r="M369" s="23"/>
      <c r="N369" s="23"/>
    </row>
    <row r="370" spans="3:14" s="21" customFormat="1" ht="15.75" customHeight="1" x14ac:dyDescent="0.25">
      <c r="C370" s="56"/>
      <c r="L370" s="23"/>
      <c r="M370" s="23"/>
      <c r="N370" s="23"/>
    </row>
    <row r="371" spans="3:14" s="21" customFormat="1" ht="15.75" customHeight="1" x14ac:dyDescent="0.25">
      <c r="C371" s="56"/>
      <c r="L371" s="23"/>
      <c r="M371" s="23"/>
      <c r="N371" s="23"/>
    </row>
    <row r="372" spans="3:14" s="21" customFormat="1" ht="15.75" customHeight="1" x14ac:dyDescent="0.25">
      <c r="C372" s="56"/>
      <c r="L372" s="23"/>
      <c r="M372" s="23"/>
      <c r="N372" s="23"/>
    </row>
    <row r="373" spans="3:14" s="21" customFormat="1" ht="15.75" customHeight="1" x14ac:dyDescent="0.25">
      <c r="C373" s="56"/>
      <c r="L373" s="23"/>
      <c r="M373" s="23"/>
      <c r="N373" s="23"/>
    </row>
    <row r="374" spans="3:14" s="21" customFormat="1" ht="15.75" customHeight="1" x14ac:dyDescent="0.25">
      <c r="C374" s="56"/>
      <c r="L374" s="23"/>
      <c r="M374" s="23"/>
      <c r="N374" s="23"/>
    </row>
    <row r="375" spans="3:14" s="21" customFormat="1" ht="15.75" customHeight="1" x14ac:dyDescent="0.25">
      <c r="C375" s="56"/>
      <c r="L375" s="23"/>
      <c r="M375" s="23"/>
      <c r="N375" s="23"/>
    </row>
    <row r="376" spans="3:14" s="21" customFormat="1" ht="15.75" customHeight="1" x14ac:dyDescent="0.25">
      <c r="C376" s="56"/>
      <c r="L376" s="23"/>
      <c r="M376" s="23"/>
      <c r="N376" s="23"/>
    </row>
    <row r="377" spans="3:14" s="21" customFormat="1" ht="15.75" customHeight="1" x14ac:dyDescent="0.25">
      <c r="C377" s="56"/>
      <c r="L377" s="23"/>
      <c r="M377" s="23"/>
      <c r="N377" s="23"/>
    </row>
    <row r="378" spans="3:14" s="21" customFormat="1" ht="15.75" customHeight="1" x14ac:dyDescent="0.25">
      <c r="C378" s="56"/>
      <c r="L378" s="23"/>
      <c r="M378" s="23"/>
      <c r="N378" s="23"/>
    </row>
    <row r="379" spans="3:14" s="21" customFormat="1" ht="15.75" customHeight="1" x14ac:dyDescent="0.25">
      <c r="C379" s="56"/>
      <c r="L379" s="23"/>
      <c r="M379" s="23"/>
      <c r="N379" s="23"/>
    </row>
    <row r="380" spans="3:14" s="21" customFormat="1" ht="15.75" customHeight="1" x14ac:dyDescent="0.25">
      <c r="C380" s="56"/>
      <c r="L380" s="23"/>
      <c r="M380" s="23"/>
      <c r="N380" s="23"/>
    </row>
    <row r="381" spans="3:14" s="21" customFormat="1" ht="15.75" customHeight="1" x14ac:dyDescent="0.25">
      <c r="C381" s="56"/>
      <c r="L381" s="23"/>
      <c r="M381" s="23"/>
      <c r="N381" s="23"/>
    </row>
    <row r="382" spans="3:14" s="21" customFormat="1" ht="15.75" customHeight="1" x14ac:dyDescent="0.25">
      <c r="C382" s="56"/>
      <c r="L382" s="23"/>
      <c r="M382" s="23"/>
      <c r="N382" s="23"/>
    </row>
    <row r="383" spans="3:14" s="21" customFormat="1" ht="15.75" customHeight="1" x14ac:dyDescent="0.25">
      <c r="C383" s="56"/>
      <c r="L383" s="23"/>
      <c r="M383" s="23"/>
      <c r="N383" s="23"/>
    </row>
    <row r="384" spans="3:14" s="21" customFormat="1" ht="15.75" customHeight="1" x14ac:dyDescent="0.25">
      <c r="C384" s="56"/>
      <c r="L384" s="23"/>
      <c r="M384" s="23"/>
      <c r="N384" s="23"/>
    </row>
    <row r="385" spans="3:14" s="21" customFormat="1" ht="15.75" customHeight="1" x14ac:dyDescent="0.25">
      <c r="C385" s="56"/>
      <c r="L385" s="23"/>
      <c r="M385" s="23"/>
      <c r="N385" s="23"/>
    </row>
    <row r="386" spans="3:14" s="21" customFormat="1" ht="15.75" customHeight="1" x14ac:dyDescent="0.25">
      <c r="C386" s="56"/>
      <c r="L386" s="23"/>
      <c r="M386" s="23"/>
      <c r="N386" s="23"/>
    </row>
    <row r="387" spans="3:14" s="21" customFormat="1" ht="15.75" customHeight="1" x14ac:dyDescent="0.25">
      <c r="C387" s="56"/>
      <c r="L387" s="23"/>
      <c r="M387" s="23"/>
      <c r="N387" s="23"/>
    </row>
    <row r="388" spans="3:14" s="21" customFormat="1" ht="15.75" customHeight="1" x14ac:dyDescent="0.25">
      <c r="C388" s="56"/>
      <c r="L388" s="23"/>
      <c r="M388" s="23"/>
      <c r="N388" s="23"/>
    </row>
    <row r="389" spans="3:14" s="21" customFormat="1" ht="15.75" customHeight="1" x14ac:dyDescent="0.25">
      <c r="C389" s="56"/>
      <c r="L389" s="23"/>
      <c r="M389" s="23"/>
      <c r="N389" s="23"/>
    </row>
    <row r="390" spans="3:14" s="21" customFormat="1" ht="15.75" customHeight="1" x14ac:dyDescent="0.25">
      <c r="C390" s="56"/>
      <c r="L390" s="23"/>
      <c r="M390" s="23"/>
      <c r="N390" s="23"/>
    </row>
    <row r="391" spans="3:14" s="21" customFormat="1" ht="15.75" customHeight="1" x14ac:dyDescent="0.25">
      <c r="C391" s="56"/>
      <c r="L391" s="23"/>
      <c r="M391" s="23"/>
      <c r="N391" s="23"/>
    </row>
    <row r="392" spans="3:14" s="21" customFormat="1" ht="15.75" customHeight="1" x14ac:dyDescent="0.25">
      <c r="C392" s="56"/>
      <c r="L392" s="23"/>
      <c r="M392" s="23"/>
      <c r="N392" s="23"/>
    </row>
    <row r="393" spans="3:14" s="21" customFormat="1" ht="15.75" customHeight="1" x14ac:dyDescent="0.25">
      <c r="C393" s="56"/>
      <c r="L393" s="23"/>
      <c r="M393" s="23"/>
      <c r="N393" s="23"/>
    </row>
    <row r="394" spans="3:14" s="21" customFormat="1" ht="15.75" customHeight="1" x14ac:dyDescent="0.25">
      <c r="C394" s="56"/>
      <c r="L394" s="23"/>
      <c r="M394" s="23"/>
      <c r="N394" s="23"/>
    </row>
    <row r="395" spans="3:14" s="21" customFormat="1" ht="15.75" customHeight="1" x14ac:dyDescent="0.25">
      <c r="C395" s="56"/>
      <c r="L395" s="23"/>
      <c r="M395" s="23"/>
      <c r="N395" s="23"/>
    </row>
    <row r="396" spans="3:14" s="21" customFormat="1" ht="15.75" customHeight="1" x14ac:dyDescent="0.25">
      <c r="C396" s="56"/>
      <c r="L396" s="23"/>
      <c r="M396" s="23"/>
      <c r="N396" s="23"/>
    </row>
    <row r="397" spans="3:14" s="21" customFormat="1" ht="15.75" customHeight="1" x14ac:dyDescent="0.25">
      <c r="C397" s="56"/>
      <c r="L397" s="23"/>
      <c r="M397" s="23"/>
      <c r="N397" s="23"/>
    </row>
    <row r="398" spans="3:14" s="21" customFormat="1" ht="15.75" customHeight="1" x14ac:dyDescent="0.25">
      <c r="C398" s="56"/>
      <c r="L398" s="23"/>
      <c r="M398" s="23"/>
      <c r="N398" s="23"/>
    </row>
    <row r="399" spans="3:14" s="21" customFormat="1" ht="15.75" customHeight="1" x14ac:dyDescent="0.25">
      <c r="C399" s="56"/>
      <c r="L399" s="23"/>
      <c r="M399" s="23"/>
      <c r="N399" s="23"/>
    </row>
    <row r="400" spans="3:14" s="21" customFormat="1" ht="15.75" customHeight="1" x14ac:dyDescent="0.25">
      <c r="C400" s="56"/>
      <c r="L400" s="23"/>
      <c r="M400" s="23"/>
      <c r="N400" s="23"/>
    </row>
    <row r="401" spans="3:14" s="21" customFormat="1" ht="15.75" customHeight="1" x14ac:dyDescent="0.25">
      <c r="C401" s="56"/>
      <c r="L401" s="23"/>
      <c r="M401" s="23"/>
      <c r="N401" s="23"/>
    </row>
    <row r="402" spans="3:14" s="21" customFormat="1" ht="15.75" customHeight="1" x14ac:dyDescent="0.25">
      <c r="C402" s="56"/>
      <c r="L402" s="23"/>
      <c r="M402" s="23"/>
      <c r="N402" s="23"/>
    </row>
    <row r="403" spans="3:14" s="21" customFormat="1" ht="15.75" customHeight="1" x14ac:dyDescent="0.25">
      <c r="C403" s="56"/>
      <c r="L403" s="23"/>
      <c r="M403" s="23"/>
      <c r="N403" s="23"/>
    </row>
    <row r="404" spans="3:14" s="21" customFormat="1" ht="15.75" customHeight="1" x14ac:dyDescent="0.25">
      <c r="C404" s="56"/>
      <c r="L404" s="23"/>
      <c r="M404" s="23"/>
      <c r="N404" s="23"/>
    </row>
    <row r="405" spans="3:14" s="21" customFormat="1" ht="15.75" customHeight="1" x14ac:dyDescent="0.25">
      <c r="C405" s="56"/>
      <c r="L405" s="23"/>
      <c r="M405" s="23"/>
      <c r="N405" s="23"/>
    </row>
    <row r="406" spans="3:14" s="21" customFormat="1" ht="15.75" customHeight="1" x14ac:dyDescent="0.25">
      <c r="C406" s="56"/>
      <c r="L406" s="23"/>
      <c r="M406" s="23"/>
      <c r="N406" s="23"/>
    </row>
    <row r="407" spans="3:14" s="21" customFormat="1" ht="15.75" customHeight="1" x14ac:dyDescent="0.25">
      <c r="C407" s="56"/>
      <c r="L407" s="23"/>
      <c r="M407" s="23"/>
      <c r="N407" s="23"/>
    </row>
    <row r="408" spans="3:14" s="21" customFormat="1" ht="15.75" customHeight="1" x14ac:dyDescent="0.25">
      <c r="C408" s="56"/>
      <c r="L408" s="23"/>
      <c r="M408" s="23"/>
      <c r="N408" s="23"/>
    </row>
    <row r="409" spans="3:14" s="21" customFormat="1" ht="15.75" customHeight="1" x14ac:dyDescent="0.25">
      <c r="C409" s="56"/>
      <c r="L409" s="23"/>
      <c r="M409" s="23"/>
      <c r="N409" s="23"/>
    </row>
    <row r="410" spans="3:14" s="21" customFormat="1" ht="15.75" customHeight="1" x14ac:dyDescent="0.25">
      <c r="C410" s="56"/>
      <c r="L410" s="23"/>
      <c r="M410" s="23"/>
      <c r="N410" s="23"/>
    </row>
    <row r="411" spans="3:14" s="21" customFormat="1" ht="15.75" customHeight="1" x14ac:dyDescent="0.25">
      <c r="C411" s="56"/>
      <c r="L411" s="23"/>
      <c r="M411" s="23"/>
      <c r="N411" s="23"/>
    </row>
    <row r="412" spans="3:14" s="21" customFormat="1" ht="15.75" customHeight="1" x14ac:dyDescent="0.25">
      <c r="C412" s="56"/>
      <c r="L412" s="23"/>
      <c r="M412" s="23"/>
      <c r="N412" s="23"/>
    </row>
    <row r="413" spans="3:14" s="21" customFormat="1" ht="15.75" customHeight="1" x14ac:dyDescent="0.25">
      <c r="C413" s="56"/>
      <c r="L413" s="23"/>
      <c r="M413" s="23"/>
      <c r="N413" s="23"/>
    </row>
    <row r="414" spans="3:14" s="21" customFormat="1" ht="15.75" customHeight="1" x14ac:dyDescent="0.25">
      <c r="C414" s="56"/>
      <c r="L414" s="23"/>
      <c r="M414" s="23"/>
      <c r="N414" s="23"/>
    </row>
    <row r="415" spans="3:14" s="21" customFormat="1" ht="15.75" customHeight="1" x14ac:dyDescent="0.25">
      <c r="C415" s="56"/>
      <c r="L415" s="23"/>
      <c r="M415" s="23"/>
      <c r="N415" s="23"/>
    </row>
    <row r="416" spans="3:14" s="21" customFormat="1" ht="15.75" customHeight="1" x14ac:dyDescent="0.25">
      <c r="C416" s="56"/>
      <c r="L416" s="23"/>
      <c r="M416" s="23"/>
      <c r="N416" s="23"/>
    </row>
    <row r="417" spans="3:14" s="21" customFormat="1" ht="15.75" customHeight="1" x14ac:dyDescent="0.25">
      <c r="C417" s="56"/>
      <c r="L417" s="23"/>
      <c r="M417" s="23"/>
      <c r="N417" s="23"/>
    </row>
    <row r="418" spans="3:14" s="21" customFormat="1" ht="15.75" customHeight="1" x14ac:dyDescent="0.25">
      <c r="C418" s="56"/>
      <c r="L418" s="23"/>
      <c r="M418" s="23"/>
      <c r="N418" s="23"/>
    </row>
    <row r="419" spans="3:14" s="21" customFormat="1" ht="15.75" customHeight="1" x14ac:dyDescent="0.25">
      <c r="C419" s="56"/>
      <c r="L419" s="23"/>
      <c r="M419" s="23"/>
      <c r="N419" s="23"/>
    </row>
    <row r="420" spans="3:14" s="21" customFormat="1" ht="15.75" customHeight="1" x14ac:dyDescent="0.25">
      <c r="C420" s="56"/>
      <c r="L420" s="23"/>
      <c r="M420" s="23"/>
      <c r="N420" s="23"/>
    </row>
    <row r="421" spans="3:14" s="21" customFormat="1" ht="15.75" customHeight="1" x14ac:dyDescent="0.25">
      <c r="C421" s="56"/>
      <c r="L421" s="23"/>
      <c r="M421" s="23"/>
      <c r="N421" s="23"/>
    </row>
    <row r="422" spans="3:14" s="21" customFormat="1" ht="15.75" customHeight="1" x14ac:dyDescent="0.25">
      <c r="C422" s="56"/>
      <c r="L422" s="23"/>
      <c r="M422" s="23"/>
      <c r="N422" s="23"/>
    </row>
    <row r="423" spans="3:14" s="21" customFormat="1" ht="15.75" customHeight="1" x14ac:dyDescent="0.25">
      <c r="C423" s="56"/>
      <c r="L423" s="23"/>
      <c r="M423" s="23"/>
      <c r="N423" s="23"/>
    </row>
    <row r="424" spans="3:14" s="21" customFormat="1" ht="15.75" customHeight="1" x14ac:dyDescent="0.25">
      <c r="C424" s="56"/>
      <c r="L424" s="23"/>
      <c r="M424" s="23"/>
      <c r="N424" s="23"/>
    </row>
    <row r="425" spans="3:14" s="21" customFormat="1" ht="15.75" customHeight="1" x14ac:dyDescent="0.25">
      <c r="C425" s="56"/>
      <c r="L425" s="23"/>
      <c r="M425" s="23"/>
      <c r="N425" s="23"/>
    </row>
    <row r="426" spans="3:14" s="21" customFormat="1" ht="15.75" customHeight="1" x14ac:dyDescent="0.25">
      <c r="C426" s="56"/>
      <c r="L426" s="23"/>
      <c r="M426" s="23"/>
      <c r="N426" s="23"/>
    </row>
    <row r="427" spans="3:14" s="21" customFormat="1" ht="15.75" customHeight="1" x14ac:dyDescent="0.25">
      <c r="C427" s="56"/>
      <c r="L427" s="23"/>
      <c r="M427" s="23"/>
      <c r="N427" s="23"/>
    </row>
    <row r="428" spans="3:14" s="21" customFormat="1" ht="15.75" customHeight="1" x14ac:dyDescent="0.25">
      <c r="C428" s="56"/>
      <c r="L428" s="23"/>
      <c r="M428" s="23"/>
      <c r="N428" s="23"/>
    </row>
    <row r="429" spans="3:14" s="21" customFormat="1" ht="15.75" customHeight="1" x14ac:dyDescent="0.25">
      <c r="C429" s="56"/>
      <c r="L429" s="23"/>
      <c r="M429" s="23"/>
      <c r="N429" s="23"/>
    </row>
    <row r="430" spans="3:14" s="21" customFormat="1" ht="15.75" customHeight="1" x14ac:dyDescent="0.25">
      <c r="C430" s="56"/>
      <c r="L430" s="23"/>
      <c r="M430" s="23"/>
      <c r="N430" s="23"/>
    </row>
    <row r="431" spans="3:14" s="21" customFormat="1" ht="15.75" customHeight="1" x14ac:dyDescent="0.25">
      <c r="C431" s="56"/>
      <c r="L431" s="23"/>
      <c r="M431" s="23"/>
      <c r="N431" s="23"/>
    </row>
    <row r="432" spans="3:14" s="21" customFormat="1" ht="15.75" customHeight="1" x14ac:dyDescent="0.25">
      <c r="C432" s="56"/>
      <c r="L432" s="23"/>
      <c r="M432" s="23"/>
      <c r="N432" s="23"/>
    </row>
    <row r="433" spans="3:14" s="21" customFormat="1" ht="15.75" customHeight="1" x14ac:dyDescent="0.25">
      <c r="C433" s="56"/>
      <c r="L433" s="23"/>
      <c r="M433" s="23"/>
      <c r="N433" s="23"/>
    </row>
    <row r="434" spans="3:14" s="21" customFormat="1" ht="15.75" customHeight="1" x14ac:dyDescent="0.25">
      <c r="C434" s="56"/>
      <c r="L434" s="23"/>
      <c r="M434" s="23"/>
      <c r="N434" s="23"/>
    </row>
    <row r="435" spans="3:14" s="21" customFormat="1" ht="15.75" customHeight="1" x14ac:dyDescent="0.25">
      <c r="C435" s="56"/>
      <c r="L435" s="23"/>
      <c r="M435" s="23"/>
      <c r="N435" s="23"/>
    </row>
    <row r="436" spans="3:14" s="21" customFormat="1" ht="15.75" customHeight="1" x14ac:dyDescent="0.25">
      <c r="C436" s="56"/>
      <c r="L436" s="23"/>
      <c r="M436" s="23"/>
      <c r="N436" s="23"/>
    </row>
    <row r="437" spans="3:14" s="21" customFormat="1" ht="15.75" customHeight="1" x14ac:dyDescent="0.25">
      <c r="C437" s="56"/>
      <c r="L437" s="23"/>
      <c r="M437" s="23"/>
      <c r="N437" s="23"/>
    </row>
    <row r="438" spans="3:14" s="21" customFormat="1" ht="15.75" customHeight="1" x14ac:dyDescent="0.25">
      <c r="C438" s="56"/>
      <c r="L438" s="23"/>
      <c r="M438" s="23"/>
      <c r="N438" s="23"/>
    </row>
    <row r="439" spans="3:14" s="21" customFormat="1" ht="15.75" customHeight="1" x14ac:dyDescent="0.25">
      <c r="C439" s="56"/>
      <c r="L439" s="23"/>
      <c r="M439" s="23"/>
      <c r="N439" s="23"/>
    </row>
    <row r="440" spans="3:14" s="21" customFormat="1" ht="15.75" customHeight="1" x14ac:dyDescent="0.25">
      <c r="C440" s="56"/>
      <c r="L440" s="23"/>
      <c r="M440" s="23"/>
      <c r="N440" s="23"/>
    </row>
    <row r="441" spans="3:14" s="21" customFormat="1" ht="15.75" customHeight="1" x14ac:dyDescent="0.25">
      <c r="C441" s="56"/>
      <c r="L441" s="23"/>
      <c r="M441" s="23"/>
      <c r="N441" s="23"/>
    </row>
    <row r="442" spans="3:14" s="21" customFormat="1" ht="15.75" customHeight="1" x14ac:dyDescent="0.25">
      <c r="C442" s="56"/>
      <c r="L442" s="23"/>
      <c r="M442" s="23"/>
      <c r="N442" s="23"/>
    </row>
    <row r="443" spans="3:14" s="21" customFormat="1" ht="15.75" customHeight="1" x14ac:dyDescent="0.25">
      <c r="C443" s="56"/>
      <c r="L443" s="23"/>
      <c r="M443" s="23"/>
      <c r="N443" s="23"/>
    </row>
    <row r="444" spans="3:14" s="21" customFormat="1" ht="15.75" customHeight="1" x14ac:dyDescent="0.25">
      <c r="C444" s="56"/>
      <c r="L444" s="23"/>
      <c r="M444" s="23"/>
      <c r="N444" s="23"/>
    </row>
    <row r="445" spans="3:14" s="21" customFormat="1" ht="15.75" customHeight="1" x14ac:dyDescent="0.25">
      <c r="C445" s="56"/>
      <c r="L445" s="23"/>
      <c r="M445" s="23"/>
      <c r="N445" s="23"/>
    </row>
    <row r="446" spans="3:14" s="21" customFormat="1" ht="15.75" customHeight="1" x14ac:dyDescent="0.25">
      <c r="C446" s="56"/>
      <c r="L446" s="23"/>
      <c r="M446" s="23"/>
      <c r="N446" s="23"/>
    </row>
    <row r="447" spans="3:14" s="21" customFormat="1" ht="15.75" customHeight="1" x14ac:dyDescent="0.25">
      <c r="C447" s="56"/>
      <c r="L447" s="23"/>
      <c r="M447" s="23"/>
      <c r="N447" s="23"/>
    </row>
    <row r="448" spans="3:14" s="21" customFormat="1" ht="15.75" customHeight="1" x14ac:dyDescent="0.25">
      <c r="C448" s="56"/>
      <c r="L448" s="23"/>
      <c r="M448" s="23"/>
      <c r="N448" s="23"/>
    </row>
    <row r="449" spans="3:14" s="21" customFormat="1" ht="15.75" customHeight="1" x14ac:dyDescent="0.25">
      <c r="C449" s="56"/>
      <c r="L449" s="23"/>
      <c r="M449" s="23"/>
      <c r="N449" s="23"/>
    </row>
    <row r="450" spans="3:14" s="21" customFormat="1" ht="15.75" customHeight="1" x14ac:dyDescent="0.25">
      <c r="C450" s="56"/>
      <c r="L450" s="23"/>
      <c r="M450" s="23"/>
      <c r="N450" s="23"/>
    </row>
    <row r="451" spans="3:14" s="21" customFormat="1" ht="15.75" customHeight="1" x14ac:dyDescent="0.25">
      <c r="C451" s="56"/>
      <c r="L451" s="23"/>
      <c r="M451" s="23"/>
      <c r="N451" s="23"/>
    </row>
    <row r="452" spans="3:14" s="21" customFormat="1" ht="15.75" customHeight="1" x14ac:dyDescent="0.25">
      <c r="C452" s="56"/>
      <c r="L452" s="23"/>
      <c r="M452" s="23"/>
      <c r="N452" s="23"/>
    </row>
    <row r="453" spans="3:14" s="21" customFormat="1" ht="15.75" customHeight="1" x14ac:dyDescent="0.25">
      <c r="C453" s="56"/>
      <c r="L453" s="23"/>
      <c r="M453" s="23"/>
      <c r="N453" s="23"/>
    </row>
    <row r="454" spans="3:14" s="21" customFormat="1" ht="15.75" customHeight="1" x14ac:dyDescent="0.25">
      <c r="C454" s="56"/>
      <c r="L454" s="23"/>
      <c r="M454" s="23"/>
      <c r="N454" s="23"/>
    </row>
    <row r="455" spans="3:14" s="21" customFormat="1" ht="15.75" customHeight="1" x14ac:dyDescent="0.25">
      <c r="C455" s="56"/>
      <c r="L455" s="23"/>
      <c r="M455" s="23"/>
      <c r="N455" s="23"/>
    </row>
    <row r="456" spans="3:14" s="21" customFormat="1" ht="15.75" customHeight="1" x14ac:dyDescent="0.25">
      <c r="C456" s="56"/>
      <c r="L456" s="23"/>
      <c r="M456" s="23"/>
      <c r="N456" s="23"/>
    </row>
    <row r="457" spans="3:14" s="21" customFormat="1" ht="15.75" customHeight="1" x14ac:dyDescent="0.25">
      <c r="C457" s="56"/>
      <c r="L457" s="23"/>
      <c r="M457" s="23"/>
      <c r="N457" s="23"/>
    </row>
    <row r="458" spans="3:14" s="21" customFormat="1" ht="15.75" customHeight="1" x14ac:dyDescent="0.25">
      <c r="C458" s="56"/>
      <c r="L458" s="23"/>
      <c r="M458" s="23"/>
      <c r="N458" s="23"/>
    </row>
    <row r="459" spans="3:14" s="21" customFormat="1" ht="15.75" customHeight="1" x14ac:dyDescent="0.25">
      <c r="C459" s="56"/>
      <c r="L459" s="23"/>
      <c r="M459" s="23"/>
      <c r="N459" s="23"/>
    </row>
    <row r="460" spans="3:14" s="21" customFormat="1" ht="15.75" customHeight="1" x14ac:dyDescent="0.25">
      <c r="C460" s="56"/>
      <c r="L460" s="23"/>
      <c r="M460" s="23"/>
      <c r="N460" s="23"/>
    </row>
    <row r="461" spans="3:14" s="21" customFormat="1" ht="15.75" customHeight="1" x14ac:dyDescent="0.25">
      <c r="C461" s="56"/>
      <c r="L461" s="23"/>
      <c r="M461" s="23"/>
      <c r="N461" s="23"/>
    </row>
    <row r="462" spans="3:14" s="21" customFormat="1" ht="15.75" customHeight="1" x14ac:dyDescent="0.25">
      <c r="C462" s="56"/>
      <c r="L462" s="23"/>
      <c r="M462" s="23"/>
      <c r="N462" s="23"/>
    </row>
    <row r="463" spans="3:14" s="21" customFormat="1" ht="15.75" customHeight="1" x14ac:dyDescent="0.25">
      <c r="C463" s="56"/>
      <c r="L463" s="23"/>
      <c r="M463" s="23"/>
      <c r="N463" s="23"/>
    </row>
    <row r="464" spans="3:14" s="21" customFormat="1" ht="15.75" customHeight="1" x14ac:dyDescent="0.25">
      <c r="C464" s="56"/>
      <c r="L464" s="23"/>
      <c r="M464" s="23"/>
      <c r="N464" s="23"/>
    </row>
    <row r="465" spans="3:14" s="21" customFormat="1" ht="15.75" customHeight="1" x14ac:dyDescent="0.25">
      <c r="C465" s="56"/>
      <c r="L465" s="23"/>
      <c r="M465" s="23"/>
      <c r="N465" s="23"/>
    </row>
    <row r="466" spans="3:14" s="21" customFormat="1" ht="15.75" customHeight="1" x14ac:dyDescent="0.25">
      <c r="C466" s="56"/>
      <c r="L466" s="23"/>
      <c r="M466" s="23"/>
      <c r="N466" s="23"/>
    </row>
    <row r="467" spans="3:14" s="21" customFormat="1" ht="15.75" customHeight="1" x14ac:dyDescent="0.25">
      <c r="C467" s="56"/>
      <c r="L467" s="23"/>
      <c r="M467" s="23"/>
      <c r="N467" s="23"/>
    </row>
    <row r="468" spans="3:14" s="21" customFormat="1" ht="15.75" customHeight="1" x14ac:dyDescent="0.25">
      <c r="C468" s="56"/>
      <c r="L468" s="23"/>
      <c r="M468" s="23"/>
      <c r="N468" s="23"/>
    </row>
    <row r="469" spans="3:14" s="21" customFormat="1" ht="15.75" customHeight="1" x14ac:dyDescent="0.25">
      <c r="C469" s="56"/>
      <c r="L469" s="23"/>
      <c r="M469" s="23"/>
      <c r="N469" s="23"/>
    </row>
    <row r="470" spans="3:14" s="21" customFormat="1" ht="15.75" customHeight="1" x14ac:dyDescent="0.25">
      <c r="C470" s="56"/>
      <c r="L470" s="23"/>
      <c r="M470" s="23"/>
      <c r="N470" s="23"/>
    </row>
    <row r="471" spans="3:14" s="21" customFormat="1" ht="15.75" customHeight="1" x14ac:dyDescent="0.25">
      <c r="C471" s="56"/>
      <c r="L471" s="23"/>
      <c r="M471" s="23"/>
      <c r="N471" s="23"/>
    </row>
    <row r="472" spans="3:14" s="21" customFormat="1" ht="15.75" customHeight="1" x14ac:dyDescent="0.25">
      <c r="C472" s="56"/>
      <c r="L472" s="23"/>
      <c r="M472" s="23"/>
      <c r="N472" s="23"/>
    </row>
    <row r="473" spans="3:14" s="21" customFormat="1" ht="15.75" customHeight="1" x14ac:dyDescent="0.25">
      <c r="C473" s="56"/>
      <c r="L473" s="23"/>
      <c r="M473" s="23"/>
      <c r="N473" s="23"/>
    </row>
    <row r="474" spans="3:14" s="21" customFormat="1" ht="15.75" customHeight="1" x14ac:dyDescent="0.25">
      <c r="C474" s="56"/>
      <c r="L474" s="23"/>
      <c r="M474" s="23"/>
      <c r="N474" s="23"/>
    </row>
    <row r="475" spans="3:14" s="21" customFormat="1" ht="15.75" customHeight="1" x14ac:dyDescent="0.25">
      <c r="C475" s="56"/>
      <c r="L475" s="23"/>
      <c r="M475" s="23"/>
      <c r="N475" s="23"/>
    </row>
    <row r="476" spans="3:14" s="21" customFormat="1" ht="15.75" customHeight="1" x14ac:dyDescent="0.25">
      <c r="C476" s="56"/>
      <c r="L476" s="23"/>
      <c r="M476" s="23"/>
      <c r="N476" s="23"/>
    </row>
    <row r="477" spans="3:14" s="21" customFormat="1" ht="15.75" customHeight="1" x14ac:dyDescent="0.25">
      <c r="C477" s="56"/>
      <c r="L477" s="23"/>
      <c r="M477" s="23"/>
      <c r="N477" s="23"/>
    </row>
    <row r="478" spans="3:14" s="21" customFormat="1" ht="15.75" customHeight="1" x14ac:dyDescent="0.25">
      <c r="C478" s="56"/>
      <c r="L478" s="23"/>
      <c r="M478" s="23"/>
      <c r="N478" s="23"/>
    </row>
    <row r="479" spans="3:14" s="21" customFormat="1" ht="15.75" customHeight="1" x14ac:dyDescent="0.25">
      <c r="C479" s="56"/>
      <c r="L479" s="23"/>
      <c r="M479" s="23"/>
      <c r="N479" s="23"/>
    </row>
    <row r="480" spans="3:14" s="21" customFormat="1" ht="15.75" customHeight="1" x14ac:dyDescent="0.25">
      <c r="C480" s="56"/>
      <c r="L480" s="23"/>
      <c r="M480" s="23"/>
      <c r="N480" s="23"/>
    </row>
    <row r="481" spans="3:14" s="21" customFormat="1" ht="15.75" customHeight="1" x14ac:dyDescent="0.25">
      <c r="C481" s="56"/>
      <c r="L481" s="23"/>
      <c r="M481" s="23"/>
      <c r="N481" s="23"/>
    </row>
    <row r="482" spans="3:14" s="21" customFormat="1" ht="15.75" customHeight="1" x14ac:dyDescent="0.25">
      <c r="C482" s="56"/>
      <c r="L482" s="23"/>
      <c r="M482" s="23"/>
      <c r="N482" s="23"/>
    </row>
    <row r="483" spans="3:14" s="21" customFormat="1" ht="15.75" customHeight="1" x14ac:dyDescent="0.25">
      <c r="C483" s="56"/>
      <c r="L483" s="23"/>
      <c r="M483" s="23"/>
      <c r="N483" s="23"/>
    </row>
    <row r="484" spans="3:14" s="21" customFormat="1" ht="15.75" customHeight="1" x14ac:dyDescent="0.25">
      <c r="C484" s="56"/>
      <c r="L484" s="23"/>
      <c r="M484" s="23"/>
      <c r="N484" s="23"/>
    </row>
    <row r="485" spans="3:14" s="21" customFormat="1" ht="15.75" customHeight="1" x14ac:dyDescent="0.25">
      <c r="C485" s="56"/>
      <c r="L485" s="23"/>
      <c r="M485" s="23"/>
      <c r="N485" s="23"/>
    </row>
    <row r="486" spans="3:14" s="21" customFormat="1" ht="15.75" customHeight="1" x14ac:dyDescent="0.25">
      <c r="C486" s="56"/>
      <c r="L486" s="23"/>
      <c r="M486" s="23"/>
      <c r="N486" s="23"/>
    </row>
    <row r="487" spans="3:14" s="21" customFormat="1" ht="15.75" customHeight="1" x14ac:dyDescent="0.25">
      <c r="C487" s="56"/>
      <c r="L487" s="23"/>
      <c r="M487" s="23"/>
      <c r="N487" s="23"/>
    </row>
    <row r="488" spans="3:14" s="21" customFormat="1" ht="15.75" customHeight="1" x14ac:dyDescent="0.25">
      <c r="C488" s="56"/>
      <c r="L488" s="23"/>
      <c r="M488" s="23"/>
      <c r="N488" s="23"/>
    </row>
    <row r="489" spans="3:14" s="21" customFormat="1" ht="15.75" customHeight="1" x14ac:dyDescent="0.25">
      <c r="C489" s="56"/>
      <c r="L489" s="23"/>
      <c r="M489" s="23"/>
      <c r="N489" s="23"/>
    </row>
    <row r="490" spans="3:14" s="21" customFormat="1" ht="15.75" customHeight="1" x14ac:dyDescent="0.25">
      <c r="C490" s="56"/>
      <c r="L490" s="23"/>
      <c r="M490" s="23"/>
      <c r="N490" s="23"/>
    </row>
    <row r="491" spans="3:14" s="21" customFormat="1" ht="15.75" customHeight="1" x14ac:dyDescent="0.25">
      <c r="C491" s="56"/>
      <c r="L491" s="23"/>
      <c r="M491" s="23"/>
      <c r="N491" s="23"/>
    </row>
    <row r="492" spans="3:14" s="21" customFormat="1" ht="15.75" customHeight="1" x14ac:dyDescent="0.25">
      <c r="C492" s="56"/>
      <c r="L492" s="23"/>
      <c r="M492" s="23"/>
      <c r="N492" s="23"/>
    </row>
    <row r="493" spans="3:14" s="21" customFormat="1" ht="15.75" customHeight="1" x14ac:dyDescent="0.25">
      <c r="C493" s="56"/>
      <c r="L493" s="23"/>
      <c r="M493" s="23"/>
      <c r="N493" s="23"/>
    </row>
    <row r="494" spans="3:14" s="21" customFormat="1" ht="15.75" customHeight="1" x14ac:dyDescent="0.25">
      <c r="C494" s="56"/>
      <c r="L494" s="23"/>
      <c r="M494" s="23"/>
      <c r="N494" s="23"/>
    </row>
    <row r="495" spans="3:14" s="21" customFormat="1" ht="15.75" customHeight="1" x14ac:dyDescent="0.25">
      <c r="C495" s="56"/>
      <c r="L495" s="23"/>
      <c r="M495" s="23"/>
      <c r="N495" s="23"/>
    </row>
    <row r="496" spans="3:14" s="21" customFormat="1" ht="15.75" customHeight="1" x14ac:dyDescent="0.25">
      <c r="C496" s="56"/>
      <c r="L496" s="23"/>
      <c r="M496" s="23"/>
      <c r="N496" s="23"/>
    </row>
    <row r="497" spans="3:14" s="21" customFormat="1" ht="15.75" customHeight="1" x14ac:dyDescent="0.25">
      <c r="C497" s="56"/>
      <c r="L497" s="23"/>
      <c r="M497" s="23"/>
      <c r="N497" s="23"/>
    </row>
    <row r="498" spans="3:14" s="21" customFormat="1" ht="15.75" customHeight="1" x14ac:dyDescent="0.25">
      <c r="C498" s="56"/>
      <c r="L498" s="23"/>
      <c r="M498" s="23"/>
      <c r="N498" s="23"/>
    </row>
    <row r="499" spans="3:14" s="21" customFormat="1" ht="15.75" customHeight="1" x14ac:dyDescent="0.25">
      <c r="C499" s="56"/>
      <c r="L499" s="23"/>
      <c r="M499" s="23"/>
      <c r="N499" s="23"/>
    </row>
    <row r="500" spans="3:14" s="21" customFormat="1" ht="15.75" customHeight="1" x14ac:dyDescent="0.25">
      <c r="C500" s="56"/>
      <c r="L500" s="23"/>
      <c r="M500" s="23"/>
      <c r="N500" s="23"/>
    </row>
    <row r="501" spans="3:14" s="21" customFormat="1" ht="15.75" customHeight="1" x14ac:dyDescent="0.25">
      <c r="C501" s="56"/>
      <c r="L501" s="23"/>
      <c r="M501" s="23"/>
      <c r="N501" s="23"/>
    </row>
    <row r="502" spans="3:14" s="21" customFormat="1" ht="15.75" customHeight="1" x14ac:dyDescent="0.25">
      <c r="C502" s="56"/>
      <c r="L502" s="23"/>
      <c r="M502" s="23"/>
      <c r="N502" s="23"/>
    </row>
    <row r="503" spans="3:14" s="21" customFormat="1" ht="15.75" customHeight="1" x14ac:dyDescent="0.25">
      <c r="C503" s="56"/>
      <c r="L503" s="23"/>
      <c r="M503" s="23"/>
      <c r="N503" s="23"/>
    </row>
    <row r="504" spans="3:14" s="21" customFormat="1" ht="15.75" customHeight="1" x14ac:dyDescent="0.25">
      <c r="C504" s="56"/>
      <c r="L504" s="23"/>
      <c r="M504" s="23"/>
      <c r="N504" s="23"/>
    </row>
    <row r="505" spans="3:14" s="21" customFormat="1" ht="15.75" customHeight="1" x14ac:dyDescent="0.25">
      <c r="C505" s="56"/>
      <c r="L505" s="23"/>
      <c r="M505" s="23"/>
      <c r="N505" s="23"/>
    </row>
    <row r="506" spans="3:14" s="21" customFormat="1" ht="15.75" customHeight="1" x14ac:dyDescent="0.25">
      <c r="C506" s="56"/>
      <c r="L506" s="23"/>
      <c r="M506" s="23"/>
      <c r="N506" s="23"/>
    </row>
    <row r="507" spans="3:14" s="21" customFormat="1" ht="15.75" customHeight="1" x14ac:dyDescent="0.25">
      <c r="C507" s="56"/>
      <c r="L507" s="23"/>
      <c r="M507" s="23"/>
      <c r="N507" s="23"/>
    </row>
    <row r="508" spans="3:14" s="21" customFormat="1" ht="15.75" customHeight="1" x14ac:dyDescent="0.25">
      <c r="C508" s="56"/>
      <c r="L508" s="23"/>
      <c r="M508" s="23"/>
      <c r="N508" s="23"/>
    </row>
    <row r="509" spans="3:14" s="21" customFormat="1" ht="15.75" customHeight="1" x14ac:dyDescent="0.25">
      <c r="C509" s="56"/>
      <c r="L509" s="23"/>
      <c r="M509" s="23"/>
      <c r="N509" s="23"/>
    </row>
    <row r="510" spans="3:14" s="21" customFormat="1" ht="15.75" customHeight="1" x14ac:dyDescent="0.25">
      <c r="C510" s="56"/>
      <c r="L510" s="23"/>
      <c r="M510" s="23"/>
      <c r="N510" s="23"/>
    </row>
    <row r="511" spans="3:14" s="21" customFormat="1" ht="15.75" customHeight="1" x14ac:dyDescent="0.25">
      <c r="C511" s="56"/>
      <c r="L511" s="23"/>
      <c r="M511" s="23"/>
      <c r="N511" s="23"/>
    </row>
    <row r="512" spans="3:14" s="21" customFormat="1" ht="15.75" customHeight="1" x14ac:dyDescent="0.25">
      <c r="C512" s="56"/>
      <c r="L512" s="23"/>
      <c r="M512" s="23"/>
      <c r="N512" s="23"/>
    </row>
    <row r="513" spans="3:14" s="21" customFormat="1" ht="15.75" customHeight="1" x14ac:dyDescent="0.25">
      <c r="C513" s="56"/>
      <c r="L513" s="23"/>
      <c r="M513" s="23"/>
      <c r="N513" s="23"/>
    </row>
    <row r="514" spans="3:14" s="21" customFormat="1" ht="15.75" customHeight="1" x14ac:dyDescent="0.25">
      <c r="C514" s="56"/>
      <c r="L514" s="23"/>
      <c r="M514" s="23"/>
      <c r="N514" s="23"/>
    </row>
    <row r="515" spans="3:14" s="21" customFormat="1" ht="15.75" customHeight="1" x14ac:dyDescent="0.25">
      <c r="C515" s="56"/>
      <c r="L515" s="23"/>
      <c r="M515" s="23"/>
      <c r="N515" s="23"/>
    </row>
    <row r="516" spans="3:14" s="21" customFormat="1" ht="15.75" customHeight="1" x14ac:dyDescent="0.25">
      <c r="C516" s="56"/>
      <c r="L516" s="23"/>
      <c r="M516" s="23"/>
      <c r="N516" s="23"/>
    </row>
    <row r="517" spans="3:14" s="21" customFormat="1" ht="15.75" customHeight="1" x14ac:dyDescent="0.25">
      <c r="C517" s="56"/>
      <c r="L517" s="23"/>
      <c r="M517" s="23"/>
      <c r="N517" s="23"/>
    </row>
    <row r="518" spans="3:14" s="21" customFormat="1" ht="15.75" customHeight="1" x14ac:dyDescent="0.25">
      <c r="C518" s="56"/>
      <c r="L518" s="23"/>
      <c r="M518" s="23"/>
      <c r="N518" s="23"/>
    </row>
    <row r="519" spans="3:14" s="21" customFormat="1" ht="15.75" customHeight="1" x14ac:dyDescent="0.25">
      <c r="C519" s="56"/>
      <c r="L519" s="23"/>
      <c r="M519" s="23"/>
      <c r="N519" s="23"/>
    </row>
    <row r="520" spans="3:14" s="21" customFormat="1" ht="15.75" customHeight="1" x14ac:dyDescent="0.25">
      <c r="C520" s="56"/>
      <c r="L520" s="23"/>
      <c r="M520" s="23"/>
      <c r="N520" s="23"/>
    </row>
    <row r="521" spans="3:14" s="21" customFormat="1" ht="15.75" customHeight="1" x14ac:dyDescent="0.25">
      <c r="C521" s="56"/>
      <c r="L521" s="23"/>
      <c r="M521" s="23"/>
      <c r="N521" s="23"/>
    </row>
    <row r="522" spans="3:14" s="21" customFormat="1" ht="15.75" customHeight="1" x14ac:dyDescent="0.25">
      <c r="C522" s="56"/>
      <c r="L522" s="23"/>
      <c r="M522" s="23"/>
      <c r="N522" s="23"/>
    </row>
    <row r="523" spans="3:14" s="21" customFormat="1" ht="15.75" customHeight="1" x14ac:dyDescent="0.25">
      <c r="C523" s="56"/>
      <c r="L523" s="23"/>
      <c r="M523" s="23"/>
      <c r="N523" s="23"/>
    </row>
    <row r="524" spans="3:14" s="21" customFormat="1" ht="15.75" customHeight="1" x14ac:dyDescent="0.25">
      <c r="C524" s="56"/>
      <c r="L524" s="23"/>
      <c r="M524" s="23"/>
      <c r="N524" s="23"/>
    </row>
    <row r="525" spans="3:14" s="21" customFormat="1" ht="15.75" customHeight="1" x14ac:dyDescent="0.25">
      <c r="C525" s="56"/>
      <c r="L525" s="23"/>
      <c r="M525" s="23"/>
      <c r="N525" s="23"/>
    </row>
    <row r="526" spans="3:14" s="21" customFormat="1" ht="15.75" customHeight="1" x14ac:dyDescent="0.25">
      <c r="C526" s="56"/>
      <c r="L526" s="23"/>
      <c r="M526" s="23"/>
      <c r="N526" s="23"/>
    </row>
    <row r="527" spans="3:14" s="21" customFormat="1" ht="15.75" customHeight="1" x14ac:dyDescent="0.25">
      <c r="C527" s="56"/>
      <c r="L527" s="23"/>
      <c r="M527" s="23"/>
      <c r="N527" s="23"/>
    </row>
    <row r="528" spans="3:14" s="21" customFormat="1" ht="15.75" customHeight="1" x14ac:dyDescent="0.25">
      <c r="C528" s="56"/>
      <c r="L528" s="23"/>
      <c r="M528" s="23"/>
      <c r="N528" s="23"/>
    </row>
    <row r="529" spans="3:14" s="21" customFormat="1" ht="15.75" customHeight="1" x14ac:dyDescent="0.25">
      <c r="C529" s="56"/>
      <c r="L529" s="23"/>
      <c r="M529" s="23"/>
      <c r="N529" s="23"/>
    </row>
    <row r="530" spans="3:14" s="21" customFormat="1" ht="15.75" customHeight="1" x14ac:dyDescent="0.25">
      <c r="C530" s="56"/>
      <c r="L530" s="23"/>
      <c r="M530" s="23"/>
      <c r="N530" s="23"/>
    </row>
    <row r="531" spans="3:14" s="21" customFormat="1" ht="15.75" customHeight="1" x14ac:dyDescent="0.25">
      <c r="C531" s="56"/>
      <c r="L531" s="23"/>
      <c r="M531" s="23"/>
      <c r="N531" s="23"/>
    </row>
    <row r="532" spans="3:14" s="21" customFormat="1" ht="15.75" customHeight="1" x14ac:dyDescent="0.25">
      <c r="C532" s="56"/>
      <c r="L532" s="23"/>
      <c r="M532" s="23"/>
      <c r="N532" s="23"/>
    </row>
    <row r="533" spans="3:14" s="21" customFormat="1" ht="15.75" customHeight="1" x14ac:dyDescent="0.25">
      <c r="C533" s="56"/>
      <c r="L533" s="23"/>
      <c r="M533" s="23"/>
      <c r="N533" s="23"/>
    </row>
    <row r="534" spans="3:14" s="21" customFormat="1" ht="15.75" customHeight="1" x14ac:dyDescent="0.25">
      <c r="C534" s="56"/>
      <c r="L534" s="23"/>
      <c r="M534" s="23"/>
      <c r="N534" s="23"/>
    </row>
    <row r="535" spans="3:14" s="21" customFormat="1" ht="15.75" customHeight="1" x14ac:dyDescent="0.25">
      <c r="C535" s="56"/>
      <c r="L535" s="23"/>
      <c r="M535" s="23"/>
      <c r="N535" s="23"/>
    </row>
    <row r="536" spans="3:14" s="21" customFormat="1" ht="15.75" customHeight="1" x14ac:dyDescent="0.25">
      <c r="C536" s="56"/>
      <c r="L536" s="23"/>
      <c r="M536" s="23"/>
      <c r="N536" s="23"/>
    </row>
    <row r="537" spans="3:14" s="21" customFormat="1" ht="15.75" customHeight="1" x14ac:dyDescent="0.25">
      <c r="C537" s="56"/>
      <c r="L537" s="23"/>
      <c r="M537" s="23"/>
      <c r="N537" s="23"/>
    </row>
    <row r="538" spans="3:14" s="21" customFormat="1" ht="15.75" customHeight="1" x14ac:dyDescent="0.25">
      <c r="C538" s="56"/>
      <c r="L538" s="23"/>
      <c r="M538" s="23"/>
      <c r="N538" s="23"/>
    </row>
    <row r="539" spans="3:14" s="21" customFormat="1" ht="15.75" customHeight="1" x14ac:dyDescent="0.25">
      <c r="C539" s="56"/>
      <c r="L539" s="23"/>
      <c r="M539" s="23"/>
      <c r="N539" s="23"/>
    </row>
    <row r="540" spans="3:14" s="21" customFormat="1" ht="15.75" customHeight="1" x14ac:dyDescent="0.25">
      <c r="C540" s="56"/>
      <c r="L540" s="23"/>
      <c r="M540" s="23"/>
      <c r="N540" s="23"/>
    </row>
    <row r="541" spans="3:14" s="21" customFormat="1" ht="15.75" customHeight="1" x14ac:dyDescent="0.25">
      <c r="C541" s="56"/>
      <c r="L541" s="23"/>
      <c r="M541" s="23"/>
      <c r="N541" s="23"/>
    </row>
    <row r="542" spans="3:14" s="21" customFormat="1" ht="15.75" customHeight="1" x14ac:dyDescent="0.25">
      <c r="C542" s="56"/>
      <c r="L542" s="23"/>
      <c r="M542" s="23"/>
      <c r="N542" s="23"/>
    </row>
    <row r="543" spans="3:14" s="21" customFormat="1" ht="15.75" customHeight="1" x14ac:dyDescent="0.25">
      <c r="C543" s="56"/>
      <c r="L543" s="23"/>
      <c r="M543" s="23"/>
      <c r="N543" s="23"/>
    </row>
    <row r="544" spans="3:14" s="21" customFormat="1" ht="15.75" customHeight="1" x14ac:dyDescent="0.25">
      <c r="C544" s="56"/>
      <c r="L544" s="23"/>
      <c r="M544" s="23"/>
      <c r="N544" s="23"/>
    </row>
    <row r="545" spans="3:14" s="21" customFormat="1" ht="15.75" customHeight="1" x14ac:dyDescent="0.25">
      <c r="C545" s="56"/>
      <c r="L545" s="23"/>
      <c r="M545" s="23"/>
      <c r="N545" s="23"/>
    </row>
    <row r="546" spans="3:14" s="21" customFormat="1" ht="15.75" customHeight="1" x14ac:dyDescent="0.25">
      <c r="C546" s="56"/>
      <c r="L546" s="23"/>
      <c r="M546" s="23"/>
      <c r="N546" s="23"/>
    </row>
    <row r="547" spans="3:14" s="21" customFormat="1" ht="15.75" customHeight="1" x14ac:dyDescent="0.25">
      <c r="C547" s="56"/>
      <c r="L547" s="23"/>
      <c r="M547" s="23"/>
      <c r="N547" s="23"/>
    </row>
    <row r="548" spans="3:14" s="21" customFormat="1" ht="15.75" customHeight="1" x14ac:dyDescent="0.25">
      <c r="C548" s="56"/>
      <c r="L548" s="23"/>
      <c r="M548" s="23"/>
      <c r="N548" s="23"/>
    </row>
    <row r="549" spans="3:14" s="21" customFormat="1" ht="15.75" customHeight="1" x14ac:dyDescent="0.25">
      <c r="C549" s="56"/>
      <c r="L549" s="23"/>
      <c r="M549" s="23"/>
      <c r="N549" s="23"/>
    </row>
    <row r="550" spans="3:14" s="21" customFormat="1" ht="15.75" customHeight="1" x14ac:dyDescent="0.25">
      <c r="C550" s="56"/>
      <c r="L550" s="23"/>
      <c r="M550" s="23"/>
      <c r="N550" s="23"/>
    </row>
    <row r="551" spans="3:14" s="21" customFormat="1" ht="15.75" customHeight="1" x14ac:dyDescent="0.25">
      <c r="C551" s="56"/>
      <c r="L551" s="23"/>
      <c r="M551" s="23"/>
      <c r="N551" s="23"/>
    </row>
    <row r="552" spans="3:14" s="21" customFormat="1" ht="15.75" customHeight="1" x14ac:dyDescent="0.25">
      <c r="C552" s="56"/>
      <c r="L552" s="23"/>
      <c r="M552" s="23"/>
      <c r="N552" s="23"/>
    </row>
    <row r="553" spans="3:14" s="21" customFormat="1" ht="15.75" customHeight="1" x14ac:dyDescent="0.25">
      <c r="C553" s="56"/>
      <c r="L553" s="23"/>
      <c r="M553" s="23"/>
      <c r="N553" s="23"/>
    </row>
    <row r="554" spans="3:14" s="21" customFormat="1" ht="15.75" customHeight="1" x14ac:dyDescent="0.25">
      <c r="C554" s="56"/>
      <c r="L554" s="23"/>
      <c r="M554" s="23"/>
      <c r="N554" s="23"/>
    </row>
    <row r="555" spans="3:14" s="21" customFormat="1" ht="15.75" customHeight="1" x14ac:dyDescent="0.25">
      <c r="C555" s="56"/>
      <c r="L555" s="23"/>
      <c r="M555" s="23"/>
      <c r="N555" s="23"/>
    </row>
    <row r="556" spans="3:14" s="21" customFormat="1" ht="15.75" customHeight="1" x14ac:dyDescent="0.25">
      <c r="C556" s="56"/>
      <c r="L556" s="23"/>
      <c r="M556" s="23"/>
      <c r="N556" s="23"/>
    </row>
    <row r="557" spans="3:14" s="21" customFormat="1" ht="15.75" customHeight="1" x14ac:dyDescent="0.25">
      <c r="C557" s="56"/>
      <c r="L557" s="23"/>
      <c r="M557" s="23"/>
      <c r="N557" s="23"/>
    </row>
    <row r="558" spans="3:14" s="21" customFormat="1" ht="15.75" customHeight="1" x14ac:dyDescent="0.25">
      <c r="C558" s="56"/>
      <c r="L558" s="23"/>
      <c r="M558" s="23"/>
      <c r="N558" s="23"/>
    </row>
    <row r="559" spans="3:14" s="21" customFormat="1" ht="15.75" customHeight="1" x14ac:dyDescent="0.25">
      <c r="C559" s="56"/>
      <c r="L559" s="23"/>
      <c r="M559" s="23"/>
      <c r="N559" s="23"/>
    </row>
    <row r="560" spans="3:14" s="21" customFormat="1" ht="15.75" customHeight="1" x14ac:dyDescent="0.25">
      <c r="C560" s="56"/>
      <c r="L560" s="23"/>
      <c r="M560" s="23"/>
      <c r="N560" s="23"/>
    </row>
    <row r="561" spans="3:14" s="21" customFormat="1" ht="15.75" customHeight="1" x14ac:dyDescent="0.25">
      <c r="C561" s="56"/>
      <c r="L561" s="23"/>
      <c r="M561" s="23"/>
      <c r="N561" s="23"/>
    </row>
    <row r="562" spans="3:14" s="21" customFormat="1" ht="15.75" customHeight="1" x14ac:dyDescent="0.25">
      <c r="C562" s="56"/>
      <c r="L562" s="23"/>
      <c r="M562" s="23"/>
      <c r="N562" s="23"/>
    </row>
    <row r="563" spans="3:14" s="21" customFormat="1" ht="15.75" customHeight="1" x14ac:dyDescent="0.25">
      <c r="C563" s="56"/>
      <c r="L563" s="23"/>
      <c r="M563" s="23"/>
      <c r="N563" s="23"/>
    </row>
    <row r="564" spans="3:14" s="21" customFormat="1" ht="15.75" customHeight="1" x14ac:dyDescent="0.25">
      <c r="C564" s="56"/>
      <c r="L564" s="23"/>
      <c r="M564" s="23"/>
      <c r="N564" s="23"/>
    </row>
    <row r="565" spans="3:14" s="21" customFormat="1" ht="15.75" customHeight="1" x14ac:dyDescent="0.25">
      <c r="C565" s="56"/>
      <c r="L565" s="23"/>
      <c r="M565" s="23"/>
      <c r="N565" s="23"/>
    </row>
    <row r="566" spans="3:14" s="21" customFormat="1" ht="15.75" customHeight="1" x14ac:dyDescent="0.25">
      <c r="C566" s="56"/>
      <c r="L566" s="23"/>
      <c r="M566" s="23"/>
      <c r="N566" s="23"/>
    </row>
    <row r="567" spans="3:14" s="21" customFormat="1" ht="15.75" customHeight="1" x14ac:dyDescent="0.25">
      <c r="C567" s="56"/>
      <c r="L567" s="23"/>
      <c r="M567" s="23"/>
      <c r="N567" s="23"/>
    </row>
    <row r="568" spans="3:14" s="21" customFormat="1" ht="15.75" customHeight="1" x14ac:dyDescent="0.25">
      <c r="C568" s="56"/>
      <c r="L568" s="23"/>
      <c r="M568" s="23"/>
      <c r="N568" s="23"/>
    </row>
    <row r="569" spans="3:14" s="21" customFormat="1" ht="15.75" customHeight="1" x14ac:dyDescent="0.25">
      <c r="C569" s="56"/>
      <c r="L569" s="23"/>
      <c r="M569" s="23"/>
      <c r="N569" s="23"/>
    </row>
    <row r="570" spans="3:14" s="21" customFormat="1" ht="15.75" customHeight="1" x14ac:dyDescent="0.25">
      <c r="C570" s="56"/>
      <c r="L570" s="23"/>
      <c r="M570" s="23"/>
      <c r="N570" s="23"/>
    </row>
    <row r="571" spans="3:14" s="21" customFormat="1" ht="15.75" customHeight="1" x14ac:dyDescent="0.25">
      <c r="C571" s="56"/>
      <c r="L571" s="23"/>
      <c r="M571" s="23"/>
      <c r="N571" s="23"/>
    </row>
    <row r="572" spans="3:14" s="21" customFormat="1" ht="15.75" customHeight="1" x14ac:dyDescent="0.25">
      <c r="C572" s="56"/>
      <c r="L572" s="23"/>
      <c r="M572" s="23"/>
      <c r="N572" s="23"/>
    </row>
    <row r="573" spans="3:14" s="21" customFormat="1" ht="15.75" customHeight="1" x14ac:dyDescent="0.25">
      <c r="C573" s="56"/>
      <c r="L573" s="23"/>
      <c r="M573" s="23"/>
      <c r="N573" s="23"/>
    </row>
    <row r="574" spans="3:14" s="21" customFormat="1" ht="15.75" customHeight="1" x14ac:dyDescent="0.25">
      <c r="C574" s="56"/>
      <c r="L574" s="23"/>
      <c r="M574" s="23"/>
      <c r="N574" s="23"/>
    </row>
    <row r="575" spans="3:14" s="21" customFormat="1" ht="15.75" customHeight="1" x14ac:dyDescent="0.25">
      <c r="C575" s="56"/>
      <c r="L575" s="23"/>
      <c r="M575" s="23"/>
      <c r="N575" s="23"/>
    </row>
    <row r="576" spans="3:14" s="21" customFormat="1" ht="15.75" customHeight="1" x14ac:dyDescent="0.25">
      <c r="C576" s="56"/>
      <c r="L576" s="23"/>
      <c r="M576" s="23"/>
      <c r="N576" s="23"/>
    </row>
    <row r="577" spans="3:14" s="21" customFormat="1" ht="15.75" customHeight="1" x14ac:dyDescent="0.25">
      <c r="C577" s="56"/>
      <c r="L577" s="23"/>
      <c r="M577" s="23"/>
      <c r="N577" s="23"/>
    </row>
    <row r="578" spans="3:14" s="21" customFormat="1" ht="15.75" customHeight="1" x14ac:dyDescent="0.25">
      <c r="C578" s="56"/>
      <c r="L578" s="23"/>
      <c r="M578" s="23"/>
      <c r="N578" s="23"/>
    </row>
    <row r="579" spans="3:14" s="21" customFormat="1" ht="15.75" customHeight="1" x14ac:dyDescent="0.25">
      <c r="C579" s="56"/>
      <c r="L579" s="23"/>
      <c r="M579" s="23"/>
      <c r="N579" s="23"/>
    </row>
    <row r="580" spans="3:14" s="21" customFormat="1" ht="15.75" customHeight="1" x14ac:dyDescent="0.25">
      <c r="C580" s="56"/>
      <c r="L580" s="23"/>
      <c r="M580" s="23"/>
      <c r="N580" s="23"/>
    </row>
    <row r="581" spans="3:14" s="21" customFormat="1" ht="15.75" customHeight="1" x14ac:dyDescent="0.25">
      <c r="C581" s="56"/>
      <c r="L581" s="23"/>
      <c r="M581" s="23"/>
      <c r="N581" s="23"/>
    </row>
    <row r="582" spans="3:14" s="21" customFormat="1" ht="15.75" customHeight="1" x14ac:dyDescent="0.25">
      <c r="C582" s="56"/>
      <c r="L582" s="23"/>
      <c r="M582" s="23"/>
      <c r="N582" s="23"/>
    </row>
    <row r="583" spans="3:14" s="21" customFormat="1" ht="15.75" customHeight="1" x14ac:dyDescent="0.25">
      <c r="C583" s="56"/>
      <c r="L583" s="23"/>
      <c r="M583" s="23"/>
      <c r="N583" s="23"/>
    </row>
    <row r="584" spans="3:14" s="21" customFormat="1" ht="15.75" customHeight="1" x14ac:dyDescent="0.25">
      <c r="C584" s="56"/>
      <c r="L584" s="23"/>
      <c r="M584" s="23"/>
      <c r="N584" s="23"/>
    </row>
    <row r="585" spans="3:14" s="21" customFormat="1" ht="15.75" customHeight="1" x14ac:dyDescent="0.25">
      <c r="C585" s="56"/>
      <c r="L585" s="23"/>
      <c r="M585" s="23"/>
      <c r="N585" s="23"/>
    </row>
    <row r="586" spans="3:14" s="21" customFormat="1" ht="15.75" customHeight="1" x14ac:dyDescent="0.25">
      <c r="C586" s="56"/>
      <c r="L586" s="23"/>
      <c r="M586" s="23"/>
      <c r="N586" s="23"/>
    </row>
    <row r="587" spans="3:14" s="21" customFormat="1" ht="15.75" customHeight="1" x14ac:dyDescent="0.25">
      <c r="C587" s="56"/>
      <c r="L587" s="23"/>
      <c r="M587" s="23"/>
      <c r="N587" s="23"/>
    </row>
    <row r="588" spans="3:14" s="21" customFormat="1" ht="15.75" customHeight="1" x14ac:dyDescent="0.25">
      <c r="C588" s="56"/>
      <c r="L588" s="23"/>
      <c r="M588" s="23"/>
      <c r="N588" s="23"/>
    </row>
    <row r="589" spans="3:14" s="21" customFormat="1" ht="15.75" customHeight="1" x14ac:dyDescent="0.25">
      <c r="C589" s="56"/>
      <c r="L589" s="23"/>
      <c r="M589" s="23"/>
      <c r="N589" s="23"/>
    </row>
    <row r="590" spans="3:14" s="21" customFormat="1" ht="15.75" customHeight="1" x14ac:dyDescent="0.25">
      <c r="C590" s="56"/>
      <c r="L590" s="23"/>
      <c r="M590" s="23"/>
      <c r="N590" s="23"/>
    </row>
    <row r="591" spans="3:14" s="21" customFormat="1" ht="15.75" customHeight="1" x14ac:dyDescent="0.25">
      <c r="C591" s="56"/>
      <c r="L591" s="23"/>
      <c r="M591" s="23"/>
      <c r="N591" s="23"/>
    </row>
    <row r="592" spans="3:14" s="21" customFormat="1" ht="15.75" customHeight="1" x14ac:dyDescent="0.25">
      <c r="C592" s="56"/>
      <c r="L592" s="23"/>
      <c r="M592" s="23"/>
      <c r="N592" s="23"/>
    </row>
    <row r="593" spans="3:14" s="21" customFormat="1" ht="15.75" customHeight="1" x14ac:dyDescent="0.25">
      <c r="C593" s="56"/>
      <c r="L593" s="23"/>
      <c r="M593" s="23"/>
      <c r="N593" s="23"/>
    </row>
    <row r="594" spans="3:14" s="21" customFormat="1" ht="15.75" customHeight="1" x14ac:dyDescent="0.25">
      <c r="C594" s="56"/>
      <c r="L594" s="23"/>
      <c r="M594" s="23"/>
      <c r="N594" s="23"/>
    </row>
    <row r="595" spans="3:14" s="21" customFormat="1" ht="15.75" customHeight="1" x14ac:dyDescent="0.25">
      <c r="C595" s="56"/>
      <c r="L595" s="23"/>
      <c r="M595" s="23"/>
      <c r="N595" s="23"/>
    </row>
    <row r="596" spans="3:14" s="21" customFormat="1" ht="15.75" customHeight="1" x14ac:dyDescent="0.25">
      <c r="C596" s="56"/>
      <c r="L596" s="23"/>
      <c r="M596" s="23"/>
      <c r="N596" s="23"/>
    </row>
    <row r="597" spans="3:14" s="21" customFormat="1" ht="15.75" customHeight="1" x14ac:dyDescent="0.25">
      <c r="C597" s="56"/>
      <c r="L597" s="23"/>
      <c r="M597" s="23"/>
      <c r="N597" s="23"/>
    </row>
    <row r="598" spans="3:14" s="21" customFormat="1" ht="15.75" customHeight="1" x14ac:dyDescent="0.25">
      <c r="C598" s="56"/>
      <c r="L598" s="23"/>
      <c r="M598" s="23"/>
      <c r="N598" s="23"/>
    </row>
    <row r="599" spans="3:14" s="21" customFormat="1" ht="15.75" customHeight="1" x14ac:dyDescent="0.25">
      <c r="C599" s="56"/>
      <c r="L599" s="23"/>
      <c r="M599" s="23"/>
      <c r="N599" s="23"/>
    </row>
    <row r="600" spans="3:14" s="21" customFormat="1" ht="15.75" customHeight="1" x14ac:dyDescent="0.25">
      <c r="C600" s="56"/>
      <c r="L600" s="23"/>
      <c r="M600" s="23"/>
      <c r="N600" s="23"/>
    </row>
    <row r="601" spans="3:14" s="21" customFormat="1" ht="15.75" customHeight="1" x14ac:dyDescent="0.25">
      <c r="C601" s="56"/>
      <c r="L601" s="23"/>
      <c r="M601" s="23"/>
      <c r="N601" s="23"/>
    </row>
    <row r="602" spans="3:14" s="21" customFormat="1" ht="15.75" customHeight="1" x14ac:dyDescent="0.25">
      <c r="C602" s="56"/>
      <c r="L602" s="23"/>
      <c r="M602" s="23"/>
      <c r="N602" s="23"/>
    </row>
    <row r="603" spans="3:14" s="21" customFormat="1" ht="15.75" customHeight="1" x14ac:dyDescent="0.25">
      <c r="C603" s="56"/>
      <c r="L603" s="23"/>
      <c r="M603" s="23"/>
      <c r="N603" s="23"/>
    </row>
    <row r="604" spans="3:14" s="21" customFormat="1" ht="15.75" customHeight="1" x14ac:dyDescent="0.25">
      <c r="C604" s="56"/>
      <c r="L604" s="23"/>
      <c r="M604" s="23"/>
      <c r="N604" s="23"/>
    </row>
    <row r="605" spans="3:14" s="21" customFormat="1" ht="15.75" customHeight="1" x14ac:dyDescent="0.25">
      <c r="C605" s="56"/>
      <c r="L605" s="23"/>
      <c r="M605" s="23"/>
      <c r="N605" s="23"/>
    </row>
    <row r="606" spans="3:14" s="21" customFormat="1" ht="15.75" customHeight="1" x14ac:dyDescent="0.25">
      <c r="C606" s="56"/>
      <c r="L606" s="23"/>
      <c r="M606" s="23"/>
      <c r="N606" s="23"/>
    </row>
    <row r="607" spans="3:14" s="21" customFormat="1" ht="15.75" customHeight="1" x14ac:dyDescent="0.25">
      <c r="C607" s="56"/>
      <c r="L607" s="23"/>
      <c r="M607" s="23"/>
      <c r="N607" s="23"/>
    </row>
    <row r="608" spans="3:14" s="21" customFormat="1" ht="15.75" customHeight="1" x14ac:dyDescent="0.25">
      <c r="C608" s="56"/>
      <c r="L608" s="23"/>
      <c r="M608" s="23"/>
      <c r="N608" s="23"/>
    </row>
    <row r="609" spans="3:14" s="21" customFormat="1" ht="15.75" customHeight="1" x14ac:dyDescent="0.25">
      <c r="C609" s="56"/>
      <c r="L609" s="23"/>
      <c r="M609" s="23"/>
      <c r="N609" s="23"/>
    </row>
    <row r="610" spans="3:14" s="21" customFormat="1" ht="15.75" customHeight="1" x14ac:dyDescent="0.25">
      <c r="C610" s="56"/>
      <c r="L610" s="23"/>
      <c r="M610" s="23"/>
      <c r="N610" s="23"/>
    </row>
    <row r="611" spans="3:14" s="21" customFormat="1" ht="15.75" customHeight="1" x14ac:dyDescent="0.25">
      <c r="C611" s="56"/>
      <c r="L611" s="23"/>
      <c r="M611" s="23"/>
      <c r="N611" s="23"/>
    </row>
    <row r="612" spans="3:14" s="21" customFormat="1" ht="15.75" customHeight="1" x14ac:dyDescent="0.25">
      <c r="C612" s="56"/>
      <c r="L612" s="23"/>
      <c r="M612" s="23"/>
      <c r="N612" s="23"/>
    </row>
    <row r="613" spans="3:14" s="21" customFormat="1" ht="15.75" customHeight="1" x14ac:dyDescent="0.25">
      <c r="C613" s="56"/>
      <c r="L613" s="23"/>
      <c r="M613" s="23"/>
      <c r="N613" s="23"/>
    </row>
    <row r="614" spans="3:14" s="21" customFormat="1" ht="15.75" customHeight="1" x14ac:dyDescent="0.25">
      <c r="C614" s="56"/>
      <c r="L614" s="23"/>
      <c r="M614" s="23"/>
      <c r="N614" s="23"/>
    </row>
    <row r="615" spans="3:14" s="21" customFormat="1" ht="15.75" customHeight="1" x14ac:dyDescent="0.25">
      <c r="C615" s="56"/>
      <c r="L615" s="23"/>
      <c r="M615" s="23"/>
      <c r="N615" s="23"/>
    </row>
    <row r="616" spans="3:14" s="21" customFormat="1" ht="15.75" customHeight="1" x14ac:dyDescent="0.25">
      <c r="C616" s="56"/>
      <c r="L616" s="23"/>
      <c r="M616" s="23"/>
      <c r="N616" s="23"/>
    </row>
    <row r="617" spans="3:14" s="21" customFormat="1" ht="15.75" customHeight="1" x14ac:dyDescent="0.25">
      <c r="C617" s="56"/>
      <c r="L617" s="23"/>
      <c r="M617" s="23"/>
      <c r="N617" s="23"/>
    </row>
    <row r="618" spans="3:14" s="21" customFormat="1" ht="15.75" customHeight="1" x14ac:dyDescent="0.25">
      <c r="C618" s="56"/>
      <c r="L618" s="23"/>
      <c r="M618" s="23"/>
      <c r="N618" s="23"/>
    </row>
    <row r="619" spans="3:14" s="21" customFormat="1" ht="15.75" customHeight="1" x14ac:dyDescent="0.25">
      <c r="C619" s="56"/>
      <c r="L619" s="23"/>
      <c r="M619" s="23"/>
      <c r="N619" s="23"/>
    </row>
    <row r="620" spans="3:14" s="21" customFormat="1" ht="15.75" customHeight="1" x14ac:dyDescent="0.25">
      <c r="C620" s="56"/>
      <c r="L620" s="23"/>
      <c r="M620" s="23"/>
      <c r="N620" s="23"/>
    </row>
    <row r="621" spans="3:14" s="21" customFormat="1" ht="15.75" customHeight="1" x14ac:dyDescent="0.25">
      <c r="C621" s="56"/>
      <c r="L621" s="23"/>
      <c r="M621" s="23"/>
      <c r="N621" s="23"/>
    </row>
    <row r="622" spans="3:14" s="21" customFormat="1" ht="15.75" customHeight="1" x14ac:dyDescent="0.25">
      <c r="C622" s="56"/>
      <c r="L622" s="23"/>
      <c r="M622" s="23"/>
      <c r="N622" s="23"/>
    </row>
    <row r="623" spans="3:14" s="21" customFormat="1" ht="15.75" customHeight="1" x14ac:dyDescent="0.25">
      <c r="C623" s="56"/>
      <c r="L623" s="23"/>
      <c r="M623" s="23"/>
      <c r="N623" s="23"/>
    </row>
    <row r="624" spans="3:14" s="21" customFormat="1" ht="15.75" customHeight="1" x14ac:dyDescent="0.25">
      <c r="C624" s="56"/>
      <c r="L624" s="23"/>
      <c r="M624" s="23"/>
      <c r="N624" s="23"/>
    </row>
    <row r="625" spans="3:14" s="21" customFormat="1" ht="15.75" customHeight="1" x14ac:dyDescent="0.25">
      <c r="C625" s="56"/>
      <c r="L625" s="23"/>
      <c r="M625" s="23"/>
      <c r="N625" s="23"/>
    </row>
    <row r="626" spans="3:14" s="21" customFormat="1" ht="15.75" customHeight="1" x14ac:dyDescent="0.25">
      <c r="C626" s="56"/>
      <c r="L626" s="23"/>
      <c r="M626" s="23"/>
      <c r="N626" s="23"/>
    </row>
    <row r="627" spans="3:14" s="21" customFormat="1" ht="15.75" customHeight="1" x14ac:dyDescent="0.25">
      <c r="C627" s="56"/>
      <c r="L627" s="23"/>
      <c r="M627" s="23"/>
      <c r="N627" s="23"/>
    </row>
    <row r="628" spans="3:14" s="21" customFormat="1" ht="15.75" customHeight="1" x14ac:dyDescent="0.25">
      <c r="C628" s="56"/>
      <c r="L628" s="23"/>
      <c r="M628" s="23"/>
      <c r="N628" s="23"/>
    </row>
    <row r="629" spans="3:14" s="21" customFormat="1" ht="15.75" customHeight="1" x14ac:dyDescent="0.25">
      <c r="C629" s="56"/>
      <c r="L629" s="23"/>
      <c r="M629" s="23"/>
      <c r="N629" s="23"/>
    </row>
    <row r="630" spans="3:14" s="21" customFormat="1" ht="15.75" customHeight="1" x14ac:dyDescent="0.25">
      <c r="C630" s="56"/>
      <c r="L630" s="23"/>
      <c r="M630" s="23"/>
      <c r="N630" s="23"/>
    </row>
    <row r="631" spans="3:14" s="21" customFormat="1" ht="15.75" customHeight="1" x14ac:dyDescent="0.25">
      <c r="C631" s="56"/>
      <c r="L631" s="23"/>
      <c r="M631" s="23"/>
      <c r="N631" s="23"/>
    </row>
    <row r="632" spans="3:14" s="21" customFormat="1" ht="15.75" customHeight="1" x14ac:dyDescent="0.25">
      <c r="C632" s="56"/>
      <c r="L632" s="23"/>
      <c r="M632" s="23"/>
      <c r="N632" s="23"/>
    </row>
    <row r="633" spans="3:14" s="21" customFormat="1" ht="15.75" customHeight="1" x14ac:dyDescent="0.25">
      <c r="C633" s="56"/>
      <c r="L633" s="23"/>
      <c r="M633" s="23"/>
      <c r="N633" s="23"/>
    </row>
    <row r="634" spans="3:14" s="21" customFormat="1" ht="15.75" customHeight="1" x14ac:dyDescent="0.25">
      <c r="C634" s="56"/>
      <c r="L634" s="23"/>
      <c r="M634" s="23"/>
      <c r="N634" s="23"/>
    </row>
    <row r="635" spans="3:14" s="21" customFormat="1" ht="15.75" customHeight="1" x14ac:dyDescent="0.25">
      <c r="C635" s="56"/>
      <c r="L635" s="23"/>
      <c r="M635" s="23"/>
      <c r="N635" s="23"/>
    </row>
    <row r="636" spans="3:14" s="21" customFormat="1" ht="15.75" customHeight="1" x14ac:dyDescent="0.25">
      <c r="C636" s="56"/>
      <c r="L636" s="23"/>
      <c r="M636" s="23"/>
      <c r="N636" s="23"/>
    </row>
    <row r="637" spans="3:14" s="21" customFormat="1" ht="15.75" customHeight="1" x14ac:dyDescent="0.25">
      <c r="C637" s="56"/>
      <c r="L637" s="23"/>
      <c r="M637" s="23"/>
      <c r="N637" s="23"/>
    </row>
    <row r="638" spans="3:14" s="21" customFormat="1" ht="15.75" customHeight="1" x14ac:dyDescent="0.25">
      <c r="C638" s="56"/>
      <c r="L638" s="23"/>
      <c r="M638" s="23"/>
      <c r="N638" s="23"/>
    </row>
    <row r="639" spans="3:14" s="21" customFormat="1" ht="15.75" customHeight="1" x14ac:dyDescent="0.25">
      <c r="C639" s="56"/>
      <c r="L639" s="23"/>
      <c r="M639" s="23"/>
      <c r="N639" s="23"/>
    </row>
    <row r="640" spans="3:14" s="21" customFormat="1" ht="15.75" customHeight="1" x14ac:dyDescent="0.25">
      <c r="C640" s="56"/>
      <c r="L640" s="23"/>
      <c r="M640" s="23"/>
      <c r="N640" s="23"/>
    </row>
    <row r="641" spans="3:14" s="21" customFormat="1" ht="15.75" customHeight="1" x14ac:dyDescent="0.25">
      <c r="C641" s="56"/>
      <c r="L641" s="23"/>
      <c r="M641" s="23"/>
      <c r="N641" s="23"/>
    </row>
    <row r="642" spans="3:14" s="21" customFormat="1" ht="15.75" customHeight="1" x14ac:dyDescent="0.25">
      <c r="C642" s="56"/>
      <c r="L642" s="23"/>
      <c r="M642" s="23"/>
      <c r="N642" s="23"/>
    </row>
    <row r="643" spans="3:14" s="21" customFormat="1" ht="15.75" customHeight="1" x14ac:dyDescent="0.25">
      <c r="C643" s="56"/>
      <c r="L643" s="23"/>
      <c r="M643" s="23"/>
      <c r="N643" s="23"/>
    </row>
    <row r="644" spans="3:14" s="21" customFormat="1" ht="15.75" customHeight="1" x14ac:dyDescent="0.25">
      <c r="C644" s="56"/>
      <c r="L644" s="23"/>
      <c r="M644" s="23"/>
      <c r="N644" s="23"/>
    </row>
    <row r="645" spans="3:14" s="21" customFormat="1" ht="15.75" customHeight="1" x14ac:dyDescent="0.25">
      <c r="C645" s="56"/>
      <c r="L645" s="23"/>
      <c r="M645" s="23"/>
      <c r="N645" s="23"/>
    </row>
    <row r="646" spans="3:14" s="21" customFormat="1" ht="15.75" customHeight="1" x14ac:dyDescent="0.25">
      <c r="C646" s="56"/>
      <c r="L646" s="23"/>
      <c r="M646" s="23"/>
      <c r="N646" s="23"/>
    </row>
    <row r="647" spans="3:14" s="21" customFormat="1" ht="15.75" customHeight="1" x14ac:dyDescent="0.25">
      <c r="C647" s="56"/>
      <c r="L647" s="23"/>
      <c r="M647" s="23"/>
      <c r="N647" s="23"/>
    </row>
    <row r="648" spans="3:14" s="21" customFormat="1" ht="15.75" customHeight="1" x14ac:dyDescent="0.25">
      <c r="C648" s="56"/>
      <c r="L648" s="23"/>
      <c r="M648" s="23"/>
      <c r="N648" s="23"/>
    </row>
    <row r="649" spans="3:14" s="21" customFormat="1" ht="15.75" customHeight="1" x14ac:dyDescent="0.25">
      <c r="C649" s="56"/>
      <c r="L649" s="23"/>
      <c r="M649" s="23"/>
      <c r="N649" s="23"/>
    </row>
    <row r="650" spans="3:14" s="21" customFormat="1" ht="15.75" customHeight="1" x14ac:dyDescent="0.25">
      <c r="C650" s="56"/>
      <c r="L650" s="23"/>
      <c r="M650" s="23"/>
      <c r="N650" s="23"/>
    </row>
    <row r="651" spans="3:14" s="21" customFormat="1" ht="15.75" customHeight="1" x14ac:dyDescent="0.25">
      <c r="C651" s="56"/>
      <c r="L651" s="23"/>
      <c r="M651" s="23"/>
      <c r="N651" s="23"/>
    </row>
    <row r="652" spans="3:14" s="21" customFormat="1" ht="15.75" customHeight="1" x14ac:dyDescent="0.25">
      <c r="C652" s="56"/>
      <c r="L652" s="23"/>
      <c r="M652" s="23"/>
      <c r="N652" s="23"/>
    </row>
    <row r="653" spans="3:14" s="21" customFormat="1" ht="15.75" customHeight="1" x14ac:dyDescent="0.25">
      <c r="C653" s="56"/>
      <c r="L653" s="23"/>
      <c r="M653" s="23"/>
      <c r="N653" s="23"/>
    </row>
    <row r="654" spans="3:14" s="21" customFormat="1" ht="15.75" customHeight="1" x14ac:dyDescent="0.25">
      <c r="C654" s="56"/>
      <c r="L654" s="23"/>
      <c r="M654" s="23"/>
      <c r="N654" s="23"/>
    </row>
    <row r="655" spans="3:14" s="21" customFormat="1" ht="15.75" customHeight="1" x14ac:dyDescent="0.25">
      <c r="C655" s="56"/>
      <c r="L655" s="23"/>
      <c r="M655" s="23"/>
      <c r="N655" s="23"/>
    </row>
    <row r="656" spans="3:14" s="21" customFormat="1" ht="15.75" customHeight="1" x14ac:dyDescent="0.25">
      <c r="C656" s="56"/>
      <c r="L656" s="23"/>
      <c r="M656" s="23"/>
      <c r="N656" s="23"/>
    </row>
    <row r="657" spans="3:14" s="21" customFormat="1" ht="15.75" customHeight="1" x14ac:dyDescent="0.25">
      <c r="C657" s="56"/>
      <c r="L657" s="23"/>
      <c r="M657" s="23"/>
      <c r="N657" s="23"/>
    </row>
    <row r="658" spans="3:14" s="21" customFormat="1" ht="15.75" customHeight="1" x14ac:dyDescent="0.25">
      <c r="C658" s="56"/>
      <c r="L658" s="23"/>
      <c r="M658" s="23"/>
      <c r="N658" s="23"/>
    </row>
    <row r="659" spans="3:14" s="21" customFormat="1" ht="15.75" customHeight="1" x14ac:dyDescent="0.25">
      <c r="C659" s="56"/>
      <c r="L659" s="23"/>
      <c r="M659" s="23"/>
      <c r="N659" s="23"/>
    </row>
    <row r="660" spans="3:14" s="21" customFormat="1" ht="15.75" customHeight="1" x14ac:dyDescent="0.25">
      <c r="C660" s="56"/>
      <c r="L660" s="23"/>
      <c r="M660" s="23"/>
      <c r="N660" s="23"/>
    </row>
    <row r="661" spans="3:14" s="21" customFormat="1" ht="15.75" customHeight="1" x14ac:dyDescent="0.25">
      <c r="C661" s="56"/>
      <c r="L661" s="23"/>
      <c r="M661" s="23"/>
      <c r="N661" s="23"/>
    </row>
    <row r="662" spans="3:14" s="21" customFormat="1" ht="15.75" customHeight="1" x14ac:dyDescent="0.25">
      <c r="C662" s="56"/>
      <c r="L662" s="23"/>
      <c r="M662" s="23"/>
      <c r="N662" s="23"/>
    </row>
    <row r="663" spans="3:14" s="21" customFormat="1" ht="15.75" customHeight="1" x14ac:dyDescent="0.25">
      <c r="C663" s="56"/>
      <c r="L663" s="23"/>
      <c r="M663" s="23"/>
      <c r="N663" s="23"/>
    </row>
    <row r="664" spans="3:14" s="21" customFormat="1" ht="15.75" customHeight="1" x14ac:dyDescent="0.25">
      <c r="C664" s="56"/>
      <c r="L664" s="23"/>
      <c r="M664" s="23"/>
      <c r="N664" s="23"/>
    </row>
    <row r="665" spans="3:14" s="21" customFormat="1" ht="15.75" customHeight="1" x14ac:dyDescent="0.25">
      <c r="C665" s="56"/>
      <c r="L665" s="23"/>
      <c r="M665" s="23"/>
      <c r="N665" s="23"/>
    </row>
    <row r="666" spans="3:14" s="21" customFormat="1" ht="15.75" customHeight="1" x14ac:dyDescent="0.25">
      <c r="C666" s="56"/>
      <c r="L666" s="23"/>
      <c r="M666" s="23"/>
      <c r="N666" s="23"/>
    </row>
    <row r="667" spans="3:14" s="21" customFormat="1" ht="15.75" customHeight="1" x14ac:dyDescent="0.25">
      <c r="C667" s="56"/>
      <c r="L667" s="23"/>
      <c r="M667" s="23"/>
      <c r="N667" s="23"/>
    </row>
    <row r="668" spans="3:14" s="21" customFormat="1" ht="15.75" customHeight="1" x14ac:dyDescent="0.25">
      <c r="C668" s="56"/>
      <c r="L668" s="23"/>
      <c r="M668" s="23"/>
      <c r="N668" s="23"/>
    </row>
    <row r="669" spans="3:14" s="21" customFormat="1" ht="15.75" customHeight="1" x14ac:dyDescent="0.25">
      <c r="C669" s="56"/>
      <c r="L669" s="23"/>
      <c r="M669" s="23"/>
      <c r="N669" s="23"/>
    </row>
    <row r="670" spans="3:14" s="21" customFormat="1" ht="15.75" customHeight="1" x14ac:dyDescent="0.25">
      <c r="C670" s="56"/>
      <c r="L670" s="23"/>
      <c r="M670" s="23"/>
      <c r="N670" s="23"/>
    </row>
    <row r="671" spans="3:14" s="21" customFormat="1" ht="15.75" customHeight="1" x14ac:dyDescent="0.25">
      <c r="C671" s="56"/>
      <c r="L671" s="23"/>
      <c r="M671" s="23"/>
      <c r="N671" s="23"/>
    </row>
    <row r="672" spans="3:14" s="21" customFormat="1" ht="15.75" customHeight="1" x14ac:dyDescent="0.25">
      <c r="C672" s="56"/>
      <c r="L672" s="23"/>
      <c r="M672" s="23"/>
      <c r="N672" s="23"/>
    </row>
    <row r="673" spans="3:14" s="21" customFormat="1" ht="15.75" customHeight="1" x14ac:dyDescent="0.25">
      <c r="C673" s="56"/>
      <c r="L673" s="23"/>
      <c r="M673" s="23"/>
      <c r="N673" s="23"/>
    </row>
    <row r="674" spans="3:14" s="21" customFormat="1" ht="15.75" customHeight="1" x14ac:dyDescent="0.25">
      <c r="C674" s="56"/>
      <c r="L674" s="23"/>
      <c r="M674" s="23"/>
      <c r="N674" s="23"/>
    </row>
    <row r="675" spans="3:14" s="21" customFormat="1" ht="15.75" customHeight="1" x14ac:dyDescent="0.25">
      <c r="C675" s="56"/>
      <c r="L675" s="23"/>
      <c r="M675" s="23"/>
      <c r="N675" s="23"/>
    </row>
    <row r="676" spans="3:14" s="21" customFormat="1" ht="15.75" customHeight="1" x14ac:dyDescent="0.25">
      <c r="C676" s="56"/>
      <c r="L676" s="23"/>
      <c r="M676" s="23"/>
      <c r="N676" s="23"/>
    </row>
    <row r="677" spans="3:14" s="21" customFormat="1" ht="15.75" customHeight="1" x14ac:dyDescent="0.25">
      <c r="C677" s="56"/>
      <c r="L677" s="23"/>
      <c r="M677" s="23"/>
      <c r="N677" s="23"/>
    </row>
    <row r="678" spans="3:14" s="21" customFormat="1" ht="15.75" customHeight="1" x14ac:dyDescent="0.25">
      <c r="C678" s="56"/>
      <c r="L678" s="23"/>
      <c r="M678" s="23"/>
      <c r="N678" s="23"/>
    </row>
    <row r="679" spans="3:14" s="21" customFormat="1" ht="15.75" customHeight="1" x14ac:dyDescent="0.25">
      <c r="C679" s="56"/>
      <c r="L679" s="23"/>
      <c r="M679" s="23"/>
      <c r="N679" s="23"/>
    </row>
    <row r="680" spans="3:14" s="21" customFormat="1" ht="15.75" customHeight="1" x14ac:dyDescent="0.25">
      <c r="C680" s="56"/>
      <c r="L680" s="23"/>
      <c r="M680" s="23"/>
      <c r="N680" s="23"/>
    </row>
    <row r="681" spans="3:14" s="21" customFormat="1" ht="15.75" customHeight="1" x14ac:dyDescent="0.25">
      <c r="C681" s="56"/>
      <c r="L681" s="23"/>
      <c r="M681" s="23"/>
      <c r="N681" s="23"/>
    </row>
    <row r="682" spans="3:14" s="21" customFormat="1" ht="15.75" customHeight="1" x14ac:dyDescent="0.25">
      <c r="C682" s="56"/>
      <c r="L682" s="23"/>
      <c r="M682" s="23"/>
      <c r="N682" s="23"/>
    </row>
    <row r="683" spans="3:14" s="21" customFormat="1" ht="15.75" customHeight="1" x14ac:dyDescent="0.25">
      <c r="C683" s="56"/>
      <c r="L683" s="23"/>
      <c r="M683" s="23"/>
      <c r="N683" s="23"/>
    </row>
    <row r="684" spans="3:14" s="21" customFormat="1" ht="15.75" customHeight="1" x14ac:dyDescent="0.25">
      <c r="C684" s="56"/>
      <c r="L684" s="23"/>
      <c r="M684" s="23"/>
      <c r="N684" s="23"/>
    </row>
    <row r="685" spans="3:14" s="21" customFormat="1" ht="15.75" customHeight="1" x14ac:dyDescent="0.25">
      <c r="C685" s="56"/>
      <c r="L685" s="23"/>
      <c r="M685" s="23"/>
      <c r="N685" s="23"/>
    </row>
    <row r="686" spans="3:14" s="21" customFormat="1" ht="15.75" customHeight="1" x14ac:dyDescent="0.25">
      <c r="C686" s="56"/>
      <c r="L686" s="23"/>
      <c r="M686" s="23"/>
      <c r="N686" s="23"/>
    </row>
    <row r="687" spans="3:14" s="21" customFormat="1" ht="15.75" customHeight="1" x14ac:dyDescent="0.25">
      <c r="C687" s="56"/>
      <c r="L687" s="23"/>
      <c r="M687" s="23"/>
      <c r="N687" s="23"/>
    </row>
    <row r="688" spans="3:14" s="21" customFormat="1" ht="15.75" customHeight="1" x14ac:dyDescent="0.25">
      <c r="C688" s="56"/>
      <c r="L688" s="23"/>
      <c r="M688" s="23"/>
      <c r="N688" s="23"/>
    </row>
    <row r="689" spans="3:14" s="21" customFormat="1" ht="15.75" customHeight="1" x14ac:dyDescent="0.25">
      <c r="C689" s="56"/>
      <c r="L689" s="23"/>
      <c r="M689" s="23"/>
      <c r="N689" s="23"/>
    </row>
    <row r="690" spans="3:14" s="21" customFormat="1" ht="15.75" customHeight="1" x14ac:dyDescent="0.25">
      <c r="C690" s="56"/>
      <c r="L690" s="23"/>
      <c r="M690" s="23"/>
      <c r="N690" s="23"/>
    </row>
    <row r="691" spans="3:14" s="21" customFormat="1" ht="15.75" customHeight="1" x14ac:dyDescent="0.25">
      <c r="C691" s="56"/>
      <c r="L691" s="23"/>
      <c r="M691" s="23"/>
      <c r="N691" s="23"/>
    </row>
    <row r="692" spans="3:14" s="21" customFormat="1" ht="15.75" customHeight="1" x14ac:dyDescent="0.25">
      <c r="C692" s="56"/>
      <c r="L692" s="23"/>
      <c r="M692" s="23"/>
      <c r="N692" s="23"/>
    </row>
    <row r="693" spans="3:14" s="21" customFormat="1" ht="15.75" customHeight="1" x14ac:dyDescent="0.25">
      <c r="C693" s="56"/>
      <c r="L693" s="23"/>
      <c r="M693" s="23"/>
      <c r="N693" s="23"/>
    </row>
    <row r="694" spans="3:14" s="21" customFormat="1" ht="15.75" customHeight="1" x14ac:dyDescent="0.25">
      <c r="C694" s="56"/>
      <c r="L694" s="23"/>
      <c r="M694" s="23"/>
      <c r="N694" s="23"/>
    </row>
    <row r="695" spans="3:14" s="21" customFormat="1" ht="15.75" customHeight="1" x14ac:dyDescent="0.25">
      <c r="C695" s="56"/>
      <c r="L695" s="23"/>
      <c r="M695" s="23"/>
      <c r="N695" s="23"/>
    </row>
    <row r="696" spans="3:14" s="21" customFormat="1" ht="15.75" customHeight="1" x14ac:dyDescent="0.25">
      <c r="C696" s="56"/>
      <c r="L696" s="23"/>
      <c r="M696" s="23"/>
      <c r="N696" s="23"/>
    </row>
    <row r="697" spans="3:14" s="21" customFormat="1" ht="15.75" customHeight="1" x14ac:dyDescent="0.25">
      <c r="C697" s="56"/>
      <c r="L697" s="23"/>
      <c r="M697" s="23"/>
      <c r="N697" s="23"/>
    </row>
    <row r="698" spans="3:14" s="21" customFormat="1" ht="15.75" customHeight="1" x14ac:dyDescent="0.25">
      <c r="C698" s="56"/>
      <c r="L698" s="23"/>
      <c r="M698" s="23"/>
      <c r="N698" s="23"/>
    </row>
    <row r="699" spans="3:14" s="21" customFormat="1" ht="15.75" customHeight="1" x14ac:dyDescent="0.25">
      <c r="C699" s="56"/>
      <c r="L699" s="23"/>
      <c r="M699" s="23"/>
      <c r="N699" s="23"/>
    </row>
    <row r="700" spans="3:14" s="21" customFormat="1" ht="15.75" customHeight="1" x14ac:dyDescent="0.25">
      <c r="C700" s="56"/>
      <c r="L700" s="23"/>
      <c r="M700" s="23"/>
      <c r="N700" s="23"/>
    </row>
    <row r="701" spans="3:14" s="21" customFormat="1" ht="15.75" customHeight="1" x14ac:dyDescent="0.25">
      <c r="C701" s="56"/>
      <c r="L701" s="23"/>
      <c r="M701" s="23"/>
      <c r="N701" s="23"/>
    </row>
    <row r="702" spans="3:14" s="21" customFormat="1" ht="15.75" customHeight="1" x14ac:dyDescent="0.25">
      <c r="C702" s="56"/>
      <c r="L702" s="23"/>
      <c r="M702" s="23"/>
      <c r="N702" s="23"/>
    </row>
    <row r="703" spans="3:14" s="21" customFormat="1" ht="15.75" customHeight="1" x14ac:dyDescent="0.25">
      <c r="C703" s="56"/>
      <c r="L703" s="23"/>
      <c r="M703" s="23"/>
      <c r="N703" s="23"/>
    </row>
    <row r="704" spans="3:14" s="21" customFormat="1" ht="15.75" customHeight="1" x14ac:dyDescent="0.25">
      <c r="C704" s="56"/>
      <c r="L704" s="23"/>
      <c r="M704" s="23"/>
      <c r="N704" s="23"/>
    </row>
    <row r="705" spans="3:14" s="21" customFormat="1" ht="15.75" customHeight="1" x14ac:dyDescent="0.25">
      <c r="C705" s="56"/>
      <c r="L705" s="23"/>
      <c r="M705" s="23"/>
      <c r="N705" s="23"/>
    </row>
    <row r="706" spans="3:14" s="21" customFormat="1" ht="15.75" customHeight="1" x14ac:dyDescent="0.25">
      <c r="C706" s="56"/>
      <c r="L706" s="23"/>
      <c r="M706" s="23"/>
      <c r="N706" s="23"/>
    </row>
    <row r="707" spans="3:14" s="21" customFormat="1" ht="15.75" customHeight="1" x14ac:dyDescent="0.25">
      <c r="C707" s="56"/>
      <c r="L707" s="23"/>
      <c r="M707" s="23"/>
      <c r="N707" s="23"/>
    </row>
    <row r="708" spans="3:14" s="21" customFormat="1" ht="15.75" customHeight="1" x14ac:dyDescent="0.25">
      <c r="C708" s="56"/>
      <c r="L708" s="23"/>
      <c r="M708" s="23"/>
      <c r="N708" s="23"/>
    </row>
    <row r="709" spans="3:14" s="21" customFormat="1" ht="15.75" customHeight="1" x14ac:dyDescent="0.25">
      <c r="C709" s="56"/>
      <c r="L709" s="23"/>
      <c r="M709" s="23"/>
      <c r="N709" s="23"/>
    </row>
    <row r="710" spans="3:14" s="21" customFormat="1" ht="15.75" customHeight="1" x14ac:dyDescent="0.25">
      <c r="C710" s="56"/>
      <c r="L710" s="23"/>
      <c r="M710" s="23"/>
      <c r="N710" s="23"/>
    </row>
    <row r="711" spans="3:14" s="21" customFormat="1" ht="15.75" customHeight="1" x14ac:dyDescent="0.25">
      <c r="C711" s="56"/>
      <c r="L711" s="23"/>
      <c r="M711" s="23"/>
      <c r="N711" s="23"/>
    </row>
    <row r="712" spans="3:14" s="21" customFormat="1" ht="15.75" customHeight="1" x14ac:dyDescent="0.25">
      <c r="C712" s="56"/>
      <c r="L712" s="23"/>
      <c r="M712" s="23"/>
      <c r="N712" s="23"/>
    </row>
    <row r="713" spans="3:14" s="21" customFormat="1" ht="15.75" customHeight="1" x14ac:dyDescent="0.25">
      <c r="C713" s="56"/>
      <c r="L713" s="23"/>
      <c r="M713" s="23"/>
      <c r="N713" s="23"/>
    </row>
    <row r="714" spans="3:14" s="21" customFormat="1" ht="15.75" customHeight="1" x14ac:dyDescent="0.25">
      <c r="C714" s="56"/>
      <c r="L714" s="23"/>
      <c r="M714" s="23"/>
      <c r="N714" s="23"/>
    </row>
    <row r="715" spans="3:14" s="21" customFormat="1" ht="15.75" customHeight="1" x14ac:dyDescent="0.25">
      <c r="C715" s="56"/>
      <c r="L715" s="23"/>
      <c r="M715" s="23"/>
      <c r="N715" s="23"/>
    </row>
    <row r="716" spans="3:14" s="21" customFormat="1" ht="15.75" customHeight="1" x14ac:dyDescent="0.25">
      <c r="C716" s="56"/>
      <c r="L716" s="23"/>
      <c r="M716" s="23"/>
      <c r="N716" s="23"/>
    </row>
    <row r="717" spans="3:14" s="21" customFormat="1" ht="15.75" customHeight="1" x14ac:dyDescent="0.25">
      <c r="C717" s="56"/>
      <c r="L717" s="23"/>
      <c r="M717" s="23"/>
      <c r="N717" s="23"/>
    </row>
    <row r="718" spans="3:14" s="21" customFormat="1" ht="15.75" customHeight="1" x14ac:dyDescent="0.25">
      <c r="C718" s="56"/>
      <c r="L718" s="23"/>
      <c r="M718" s="23"/>
      <c r="N718" s="23"/>
    </row>
    <row r="719" spans="3:14" s="21" customFormat="1" ht="15.75" customHeight="1" x14ac:dyDescent="0.25">
      <c r="C719" s="56"/>
      <c r="L719" s="23"/>
      <c r="M719" s="23"/>
      <c r="N719" s="23"/>
    </row>
    <row r="720" spans="3:14" s="21" customFormat="1" ht="15.75" customHeight="1" x14ac:dyDescent="0.25">
      <c r="C720" s="56"/>
      <c r="L720" s="23"/>
      <c r="M720" s="23"/>
      <c r="N720" s="23"/>
    </row>
    <row r="721" spans="3:14" s="21" customFormat="1" ht="15.75" customHeight="1" x14ac:dyDescent="0.25">
      <c r="C721" s="56"/>
      <c r="L721" s="23"/>
      <c r="M721" s="23"/>
      <c r="N721" s="23"/>
    </row>
    <row r="722" spans="3:14" s="21" customFormat="1" ht="15.75" customHeight="1" x14ac:dyDescent="0.25">
      <c r="C722" s="56"/>
      <c r="L722" s="23"/>
      <c r="M722" s="23"/>
      <c r="N722" s="23"/>
    </row>
    <row r="723" spans="3:14" s="21" customFormat="1" ht="15.75" customHeight="1" x14ac:dyDescent="0.25">
      <c r="C723" s="56"/>
      <c r="L723" s="23"/>
      <c r="M723" s="23"/>
      <c r="N723" s="23"/>
    </row>
    <row r="724" spans="3:14" s="21" customFormat="1" ht="15.75" customHeight="1" x14ac:dyDescent="0.25">
      <c r="C724" s="56"/>
      <c r="L724" s="23"/>
      <c r="M724" s="23"/>
      <c r="N724" s="23"/>
    </row>
    <row r="725" spans="3:14" s="21" customFormat="1" ht="15.75" customHeight="1" x14ac:dyDescent="0.25">
      <c r="C725" s="56"/>
      <c r="L725" s="23"/>
      <c r="M725" s="23"/>
      <c r="N725" s="23"/>
    </row>
    <row r="726" spans="3:14" s="21" customFormat="1" ht="15.75" customHeight="1" x14ac:dyDescent="0.25">
      <c r="C726" s="56"/>
      <c r="L726" s="23"/>
      <c r="M726" s="23"/>
      <c r="N726" s="23"/>
    </row>
    <row r="727" spans="3:14" s="21" customFormat="1" ht="15.75" customHeight="1" x14ac:dyDescent="0.25">
      <c r="C727" s="56"/>
      <c r="L727" s="23"/>
      <c r="M727" s="23"/>
      <c r="N727" s="23"/>
    </row>
    <row r="728" spans="3:14" s="21" customFormat="1" ht="15.75" customHeight="1" x14ac:dyDescent="0.25">
      <c r="C728" s="56"/>
      <c r="L728" s="23"/>
      <c r="M728" s="23"/>
      <c r="N728" s="23"/>
    </row>
    <row r="729" spans="3:14" s="21" customFormat="1" ht="15.75" customHeight="1" x14ac:dyDescent="0.25">
      <c r="C729" s="56"/>
      <c r="L729" s="23"/>
      <c r="M729" s="23"/>
      <c r="N729" s="23"/>
    </row>
    <row r="730" spans="3:14" s="21" customFormat="1" ht="15.75" customHeight="1" x14ac:dyDescent="0.25">
      <c r="C730" s="56"/>
      <c r="L730" s="23"/>
      <c r="M730" s="23"/>
      <c r="N730" s="23"/>
    </row>
    <row r="731" spans="3:14" s="21" customFormat="1" ht="15.75" customHeight="1" x14ac:dyDescent="0.25">
      <c r="C731" s="56"/>
      <c r="L731" s="23"/>
      <c r="M731" s="23"/>
      <c r="N731" s="23"/>
    </row>
    <row r="732" spans="3:14" s="21" customFormat="1" ht="15.75" customHeight="1" x14ac:dyDescent="0.25">
      <c r="C732" s="56"/>
      <c r="L732" s="23"/>
      <c r="M732" s="23"/>
      <c r="N732" s="23"/>
    </row>
    <row r="733" spans="3:14" s="21" customFormat="1" ht="15.75" customHeight="1" x14ac:dyDescent="0.25">
      <c r="C733" s="56"/>
      <c r="L733" s="23"/>
      <c r="M733" s="23"/>
      <c r="N733" s="23"/>
    </row>
    <row r="734" spans="3:14" s="21" customFormat="1" ht="15.75" customHeight="1" x14ac:dyDescent="0.25">
      <c r="C734" s="56"/>
      <c r="L734" s="23"/>
      <c r="M734" s="23"/>
      <c r="N734" s="23"/>
    </row>
    <row r="735" spans="3:14" s="21" customFormat="1" ht="15.75" customHeight="1" x14ac:dyDescent="0.25">
      <c r="C735" s="56"/>
      <c r="L735" s="23"/>
      <c r="M735" s="23"/>
      <c r="N735" s="23"/>
    </row>
    <row r="736" spans="3:14" s="21" customFormat="1" ht="15.75" customHeight="1" x14ac:dyDescent="0.25">
      <c r="C736" s="56"/>
      <c r="L736" s="23"/>
      <c r="M736" s="23"/>
      <c r="N736" s="23"/>
    </row>
    <row r="737" spans="3:14" s="21" customFormat="1" ht="15.75" customHeight="1" x14ac:dyDescent="0.25">
      <c r="C737" s="56"/>
      <c r="L737" s="23"/>
      <c r="M737" s="23"/>
      <c r="N737" s="23"/>
    </row>
    <row r="738" spans="3:14" s="21" customFormat="1" ht="15.75" customHeight="1" x14ac:dyDescent="0.25">
      <c r="C738" s="56"/>
      <c r="L738" s="23"/>
      <c r="M738" s="23"/>
      <c r="N738" s="23"/>
    </row>
    <row r="739" spans="3:14" s="21" customFormat="1" ht="15.75" customHeight="1" x14ac:dyDescent="0.25">
      <c r="C739" s="56"/>
      <c r="L739" s="23"/>
      <c r="M739" s="23"/>
      <c r="N739" s="23"/>
    </row>
    <row r="740" spans="3:14" s="21" customFormat="1" ht="15.75" customHeight="1" x14ac:dyDescent="0.25">
      <c r="C740" s="56"/>
      <c r="L740" s="23"/>
      <c r="M740" s="23"/>
      <c r="N740" s="23"/>
    </row>
    <row r="741" spans="3:14" s="21" customFormat="1" ht="15.75" customHeight="1" x14ac:dyDescent="0.25">
      <c r="C741" s="56"/>
      <c r="L741" s="23"/>
      <c r="M741" s="23"/>
      <c r="N741" s="23"/>
    </row>
    <row r="742" spans="3:14" s="21" customFormat="1" ht="15.75" customHeight="1" x14ac:dyDescent="0.25">
      <c r="C742" s="56"/>
      <c r="L742" s="23"/>
      <c r="M742" s="23"/>
      <c r="N742" s="23"/>
    </row>
    <row r="743" spans="3:14" s="21" customFormat="1" ht="15.75" customHeight="1" x14ac:dyDescent="0.25">
      <c r="C743" s="56"/>
      <c r="L743" s="23"/>
      <c r="M743" s="23"/>
      <c r="N743" s="23"/>
    </row>
    <row r="744" spans="3:14" s="21" customFormat="1" ht="15.75" customHeight="1" x14ac:dyDescent="0.25">
      <c r="C744" s="56"/>
      <c r="L744" s="23"/>
      <c r="M744" s="23"/>
      <c r="N744" s="23"/>
    </row>
    <row r="745" spans="3:14" s="21" customFormat="1" ht="15.75" customHeight="1" x14ac:dyDescent="0.25">
      <c r="C745" s="56"/>
      <c r="L745" s="23"/>
      <c r="M745" s="23"/>
      <c r="N745" s="23"/>
    </row>
    <row r="746" spans="3:14" s="21" customFormat="1" ht="15.75" customHeight="1" x14ac:dyDescent="0.25">
      <c r="C746" s="56"/>
      <c r="L746" s="23"/>
      <c r="M746" s="23"/>
      <c r="N746" s="23"/>
    </row>
    <row r="747" spans="3:14" s="21" customFormat="1" ht="15.75" customHeight="1" x14ac:dyDescent="0.25">
      <c r="C747" s="56"/>
      <c r="L747" s="23"/>
      <c r="M747" s="23"/>
      <c r="N747" s="23"/>
    </row>
    <row r="748" spans="3:14" s="21" customFormat="1" ht="15.75" customHeight="1" x14ac:dyDescent="0.25">
      <c r="C748" s="56"/>
      <c r="L748" s="23"/>
      <c r="M748" s="23"/>
      <c r="N748" s="23"/>
    </row>
    <row r="749" spans="3:14" s="21" customFormat="1" ht="15.75" customHeight="1" x14ac:dyDescent="0.25">
      <c r="C749" s="56"/>
      <c r="L749" s="23"/>
      <c r="M749" s="23"/>
      <c r="N749" s="23"/>
    </row>
    <row r="750" spans="3:14" s="21" customFormat="1" ht="15.75" customHeight="1" x14ac:dyDescent="0.25">
      <c r="C750" s="56"/>
      <c r="L750" s="23"/>
      <c r="M750" s="23"/>
      <c r="N750" s="23"/>
    </row>
    <row r="751" spans="3:14" s="21" customFormat="1" ht="15.75" customHeight="1" x14ac:dyDescent="0.25">
      <c r="C751" s="56"/>
      <c r="L751" s="23"/>
      <c r="M751" s="23"/>
      <c r="N751" s="23"/>
    </row>
    <row r="752" spans="3:14" s="21" customFormat="1" ht="15.75" customHeight="1" x14ac:dyDescent="0.25">
      <c r="C752" s="56"/>
      <c r="L752" s="23"/>
      <c r="M752" s="23"/>
      <c r="N752" s="23"/>
    </row>
    <row r="753" spans="3:14" s="21" customFormat="1" ht="15.75" customHeight="1" x14ac:dyDescent="0.25">
      <c r="C753" s="56"/>
      <c r="L753" s="23"/>
      <c r="M753" s="23"/>
      <c r="N753" s="23"/>
    </row>
    <row r="754" spans="3:14" s="21" customFormat="1" ht="15.75" customHeight="1" x14ac:dyDescent="0.25">
      <c r="C754" s="56"/>
      <c r="L754" s="23"/>
      <c r="M754" s="23"/>
      <c r="N754" s="23"/>
    </row>
    <row r="755" spans="3:14" s="21" customFormat="1" ht="15.75" customHeight="1" x14ac:dyDescent="0.25">
      <c r="C755" s="56"/>
      <c r="L755" s="23"/>
      <c r="M755" s="23"/>
      <c r="N755" s="23"/>
    </row>
    <row r="756" spans="3:14" s="21" customFormat="1" ht="15.75" customHeight="1" x14ac:dyDescent="0.25">
      <c r="C756" s="56"/>
      <c r="L756" s="23"/>
      <c r="M756" s="23"/>
      <c r="N756" s="23"/>
    </row>
    <row r="757" spans="3:14" s="21" customFormat="1" ht="15.75" customHeight="1" x14ac:dyDescent="0.25">
      <c r="C757" s="56"/>
      <c r="L757" s="23"/>
      <c r="M757" s="23"/>
      <c r="N757" s="23"/>
    </row>
    <row r="758" spans="3:14" s="21" customFormat="1" ht="15.75" customHeight="1" x14ac:dyDescent="0.25">
      <c r="C758" s="56"/>
      <c r="L758" s="23"/>
      <c r="M758" s="23"/>
      <c r="N758" s="23"/>
    </row>
    <row r="759" spans="3:14" s="21" customFormat="1" ht="15.75" customHeight="1" x14ac:dyDescent="0.25">
      <c r="C759" s="56"/>
      <c r="L759" s="23"/>
      <c r="M759" s="23"/>
      <c r="N759" s="23"/>
    </row>
    <row r="760" spans="3:14" s="21" customFormat="1" ht="15.75" customHeight="1" x14ac:dyDescent="0.25">
      <c r="C760" s="56"/>
      <c r="L760" s="23"/>
      <c r="M760" s="23"/>
      <c r="N760" s="23"/>
    </row>
    <row r="761" spans="3:14" s="21" customFormat="1" ht="15.75" customHeight="1" x14ac:dyDescent="0.25">
      <c r="C761" s="56"/>
      <c r="L761" s="23"/>
      <c r="M761" s="23"/>
      <c r="N761" s="23"/>
    </row>
    <row r="762" spans="3:14" s="21" customFormat="1" ht="15.75" customHeight="1" x14ac:dyDescent="0.25">
      <c r="C762" s="56"/>
      <c r="L762" s="23"/>
      <c r="M762" s="23"/>
      <c r="N762" s="23"/>
    </row>
    <row r="763" spans="3:14" s="21" customFormat="1" ht="15.75" customHeight="1" x14ac:dyDescent="0.25">
      <c r="C763" s="56"/>
      <c r="L763" s="23"/>
      <c r="M763" s="23"/>
      <c r="N763" s="23"/>
    </row>
    <row r="764" spans="3:14" s="21" customFormat="1" ht="15.75" customHeight="1" x14ac:dyDescent="0.25">
      <c r="C764" s="56"/>
      <c r="L764" s="23"/>
      <c r="M764" s="23"/>
      <c r="N764" s="23"/>
    </row>
    <row r="765" spans="3:14" s="21" customFormat="1" ht="15.75" customHeight="1" x14ac:dyDescent="0.25">
      <c r="C765" s="56"/>
      <c r="L765" s="23"/>
      <c r="M765" s="23"/>
      <c r="N765" s="23"/>
    </row>
    <row r="766" spans="3:14" s="21" customFormat="1" ht="15.75" customHeight="1" x14ac:dyDescent="0.25">
      <c r="C766" s="56"/>
      <c r="L766" s="23"/>
      <c r="M766" s="23"/>
      <c r="N766" s="23"/>
    </row>
    <row r="767" spans="3:14" s="21" customFormat="1" ht="15.75" customHeight="1" x14ac:dyDescent="0.25">
      <c r="C767" s="56"/>
      <c r="L767" s="23"/>
      <c r="M767" s="23"/>
      <c r="N767" s="23"/>
    </row>
    <row r="768" spans="3:14" s="21" customFormat="1" ht="15.75" customHeight="1" x14ac:dyDescent="0.25">
      <c r="C768" s="56"/>
      <c r="L768" s="23"/>
      <c r="M768" s="23"/>
      <c r="N768" s="23"/>
    </row>
    <row r="769" spans="3:14" s="21" customFormat="1" ht="15.75" customHeight="1" x14ac:dyDescent="0.25">
      <c r="C769" s="56"/>
      <c r="L769" s="23"/>
      <c r="M769" s="23"/>
      <c r="N769" s="23"/>
    </row>
    <row r="770" spans="3:14" s="21" customFormat="1" ht="15.75" customHeight="1" x14ac:dyDescent="0.25">
      <c r="C770" s="56"/>
      <c r="L770" s="23"/>
      <c r="M770" s="23"/>
      <c r="N770" s="23"/>
    </row>
    <row r="771" spans="3:14" s="21" customFormat="1" ht="15.75" customHeight="1" x14ac:dyDescent="0.25">
      <c r="C771" s="56"/>
      <c r="L771" s="23"/>
      <c r="M771" s="23"/>
      <c r="N771" s="23"/>
    </row>
    <row r="772" spans="3:14" s="21" customFormat="1" ht="15.75" customHeight="1" x14ac:dyDescent="0.25">
      <c r="C772" s="56"/>
      <c r="L772" s="23"/>
      <c r="M772" s="23"/>
      <c r="N772" s="23"/>
    </row>
    <row r="773" spans="3:14" s="21" customFormat="1" ht="15.75" customHeight="1" x14ac:dyDescent="0.25">
      <c r="C773" s="56"/>
      <c r="L773" s="23"/>
      <c r="M773" s="23"/>
      <c r="N773" s="23"/>
    </row>
    <row r="774" spans="3:14" s="21" customFormat="1" ht="15.75" customHeight="1" x14ac:dyDescent="0.25">
      <c r="C774" s="56"/>
      <c r="L774" s="23"/>
      <c r="M774" s="23"/>
      <c r="N774" s="23"/>
    </row>
    <row r="775" spans="3:14" s="21" customFormat="1" ht="15.75" customHeight="1" x14ac:dyDescent="0.25">
      <c r="C775" s="56"/>
      <c r="L775" s="23"/>
      <c r="M775" s="23"/>
      <c r="N775" s="23"/>
    </row>
    <row r="776" spans="3:14" s="21" customFormat="1" ht="15.75" customHeight="1" x14ac:dyDescent="0.25">
      <c r="C776" s="56"/>
      <c r="L776" s="23"/>
      <c r="M776" s="23"/>
      <c r="N776" s="23"/>
    </row>
    <row r="777" spans="3:14" s="21" customFormat="1" ht="15.75" customHeight="1" x14ac:dyDescent="0.25">
      <c r="C777" s="56"/>
      <c r="L777" s="23"/>
      <c r="M777" s="23"/>
      <c r="N777" s="23"/>
    </row>
    <row r="778" spans="3:14" s="21" customFormat="1" ht="15.75" customHeight="1" x14ac:dyDescent="0.25">
      <c r="C778" s="56"/>
      <c r="L778" s="23"/>
      <c r="M778" s="23"/>
      <c r="N778" s="23"/>
    </row>
    <row r="779" spans="3:14" s="21" customFormat="1" ht="15.75" customHeight="1" x14ac:dyDescent="0.25">
      <c r="C779" s="56"/>
      <c r="L779" s="23"/>
      <c r="M779" s="23"/>
      <c r="N779" s="23"/>
    </row>
    <row r="780" spans="3:14" s="21" customFormat="1" ht="15.75" customHeight="1" x14ac:dyDescent="0.25">
      <c r="C780" s="56"/>
      <c r="L780" s="23"/>
      <c r="M780" s="23"/>
      <c r="N780" s="23"/>
    </row>
    <row r="781" spans="3:14" s="21" customFormat="1" ht="15.75" customHeight="1" x14ac:dyDescent="0.25">
      <c r="C781" s="56"/>
      <c r="L781" s="23"/>
      <c r="M781" s="23"/>
      <c r="N781" s="23"/>
    </row>
    <row r="782" spans="3:14" s="21" customFormat="1" ht="15.75" customHeight="1" x14ac:dyDescent="0.25">
      <c r="C782" s="56"/>
      <c r="L782" s="23"/>
      <c r="M782" s="23"/>
      <c r="N782" s="23"/>
    </row>
    <row r="783" spans="3:14" s="21" customFormat="1" ht="15.75" customHeight="1" x14ac:dyDescent="0.25">
      <c r="C783" s="56"/>
      <c r="L783" s="23"/>
      <c r="M783" s="23"/>
      <c r="N783" s="23"/>
    </row>
    <row r="784" spans="3:14" s="21" customFormat="1" ht="15.75" customHeight="1" x14ac:dyDescent="0.25">
      <c r="C784" s="56"/>
      <c r="L784" s="23"/>
      <c r="M784" s="23"/>
      <c r="N784" s="23"/>
    </row>
    <row r="785" spans="3:14" s="21" customFormat="1" ht="15.75" customHeight="1" x14ac:dyDescent="0.25">
      <c r="C785" s="56"/>
      <c r="L785" s="23"/>
      <c r="M785" s="23"/>
      <c r="N785" s="23"/>
    </row>
    <row r="786" spans="3:14" s="21" customFormat="1" ht="15.75" customHeight="1" x14ac:dyDescent="0.25">
      <c r="C786" s="56"/>
      <c r="L786" s="23"/>
      <c r="M786" s="23"/>
      <c r="N786" s="23"/>
    </row>
    <row r="787" spans="3:14" s="21" customFormat="1" ht="15.75" customHeight="1" x14ac:dyDescent="0.25">
      <c r="C787" s="56"/>
      <c r="L787" s="23"/>
      <c r="M787" s="23"/>
      <c r="N787" s="23"/>
    </row>
    <row r="788" spans="3:14" s="21" customFormat="1" ht="15.75" customHeight="1" x14ac:dyDescent="0.25">
      <c r="C788" s="56"/>
      <c r="L788" s="23"/>
      <c r="M788" s="23"/>
      <c r="N788" s="23"/>
    </row>
    <row r="789" spans="3:14" s="21" customFormat="1" ht="15.75" customHeight="1" x14ac:dyDescent="0.25">
      <c r="C789" s="56"/>
      <c r="L789" s="23"/>
      <c r="M789" s="23"/>
      <c r="N789" s="23"/>
    </row>
    <row r="790" spans="3:14" s="21" customFormat="1" ht="15.75" customHeight="1" x14ac:dyDescent="0.25">
      <c r="C790" s="56"/>
      <c r="L790" s="23"/>
      <c r="M790" s="23"/>
      <c r="N790" s="23"/>
    </row>
    <row r="791" spans="3:14" s="21" customFormat="1" ht="15.75" customHeight="1" x14ac:dyDescent="0.25">
      <c r="C791" s="56"/>
      <c r="L791" s="23"/>
      <c r="M791" s="23"/>
      <c r="N791" s="23"/>
    </row>
    <row r="792" spans="3:14" s="21" customFormat="1" ht="15.75" customHeight="1" x14ac:dyDescent="0.25">
      <c r="C792" s="56"/>
      <c r="L792" s="23"/>
      <c r="M792" s="23"/>
      <c r="N792" s="23"/>
    </row>
    <row r="793" spans="3:14" s="21" customFormat="1" ht="15.75" customHeight="1" x14ac:dyDescent="0.25">
      <c r="C793" s="56"/>
      <c r="L793" s="23"/>
      <c r="M793" s="23"/>
      <c r="N793" s="23"/>
    </row>
    <row r="794" spans="3:14" s="21" customFormat="1" ht="15.75" customHeight="1" x14ac:dyDescent="0.25">
      <c r="C794" s="56"/>
      <c r="L794" s="23"/>
      <c r="M794" s="23"/>
      <c r="N794" s="23"/>
    </row>
    <row r="795" spans="3:14" s="21" customFormat="1" ht="15.75" customHeight="1" x14ac:dyDescent="0.25">
      <c r="C795" s="56"/>
      <c r="L795" s="23"/>
      <c r="M795" s="23"/>
      <c r="N795" s="23"/>
    </row>
    <row r="796" spans="3:14" s="21" customFormat="1" ht="15.75" customHeight="1" x14ac:dyDescent="0.25">
      <c r="C796" s="56"/>
      <c r="L796" s="23"/>
      <c r="M796" s="23"/>
      <c r="N796" s="23"/>
    </row>
    <row r="797" spans="3:14" s="21" customFormat="1" ht="15.75" customHeight="1" x14ac:dyDescent="0.25">
      <c r="C797" s="56"/>
      <c r="L797" s="23"/>
      <c r="M797" s="23"/>
      <c r="N797" s="23"/>
    </row>
    <row r="798" spans="3:14" s="21" customFormat="1" ht="15.75" customHeight="1" x14ac:dyDescent="0.25">
      <c r="C798" s="56"/>
      <c r="L798" s="23"/>
      <c r="M798" s="23"/>
      <c r="N798" s="23"/>
    </row>
    <row r="799" spans="3:14" s="21" customFormat="1" ht="15.75" customHeight="1" x14ac:dyDescent="0.25">
      <c r="C799" s="56"/>
      <c r="L799" s="23"/>
      <c r="M799" s="23"/>
      <c r="N799" s="23"/>
    </row>
    <row r="800" spans="3:14" s="21" customFormat="1" ht="15.75" customHeight="1" x14ac:dyDescent="0.25">
      <c r="C800" s="56"/>
      <c r="L800" s="23"/>
      <c r="M800" s="23"/>
      <c r="N800" s="23"/>
    </row>
    <row r="801" spans="3:14" s="21" customFormat="1" ht="15.75" customHeight="1" x14ac:dyDescent="0.25">
      <c r="C801" s="56"/>
      <c r="L801" s="23"/>
      <c r="M801" s="23"/>
      <c r="N801" s="23"/>
    </row>
    <row r="802" spans="3:14" s="21" customFormat="1" ht="15.75" customHeight="1" x14ac:dyDescent="0.25">
      <c r="C802" s="56"/>
      <c r="L802" s="23"/>
      <c r="M802" s="23"/>
      <c r="N802" s="23"/>
    </row>
    <row r="803" spans="3:14" s="21" customFormat="1" ht="15.75" customHeight="1" x14ac:dyDescent="0.25">
      <c r="C803" s="56"/>
      <c r="L803" s="23"/>
      <c r="M803" s="23"/>
      <c r="N803" s="23"/>
    </row>
    <row r="804" spans="3:14" s="21" customFormat="1" ht="15.75" customHeight="1" x14ac:dyDescent="0.25">
      <c r="C804" s="56"/>
      <c r="L804" s="23"/>
      <c r="M804" s="23"/>
      <c r="N804" s="23"/>
    </row>
    <row r="805" spans="3:14" s="21" customFormat="1" ht="15.75" customHeight="1" x14ac:dyDescent="0.25">
      <c r="C805" s="56"/>
      <c r="L805" s="23"/>
      <c r="M805" s="23"/>
      <c r="N805" s="23"/>
    </row>
    <row r="806" spans="3:14" s="21" customFormat="1" ht="15.75" customHeight="1" x14ac:dyDescent="0.25">
      <c r="C806" s="56"/>
      <c r="L806" s="23"/>
      <c r="M806" s="23"/>
      <c r="N806" s="23"/>
    </row>
    <row r="807" spans="3:14" s="21" customFormat="1" ht="15.75" customHeight="1" x14ac:dyDescent="0.25">
      <c r="C807" s="56"/>
      <c r="L807" s="23"/>
      <c r="M807" s="23"/>
      <c r="N807" s="23"/>
    </row>
    <row r="808" spans="3:14" s="21" customFormat="1" ht="15.75" customHeight="1" x14ac:dyDescent="0.25">
      <c r="C808" s="56"/>
      <c r="L808" s="23"/>
      <c r="M808" s="23"/>
      <c r="N808" s="23"/>
    </row>
    <row r="809" spans="3:14" s="21" customFormat="1" ht="15.75" customHeight="1" x14ac:dyDescent="0.25">
      <c r="C809" s="56"/>
      <c r="L809" s="23"/>
      <c r="M809" s="23"/>
      <c r="N809" s="23"/>
    </row>
    <row r="810" spans="3:14" s="21" customFormat="1" ht="15.75" customHeight="1" x14ac:dyDescent="0.25">
      <c r="C810" s="56"/>
      <c r="L810" s="23"/>
      <c r="M810" s="23"/>
      <c r="N810" s="23"/>
    </row>
    <row r="811" spans="3:14" s="21" customFormat="1" ht="15.75" customHeight="1" x14ac:dyDescent="0.25">
      <c r="C811" s="56"/>
      <c r="L811" s="23"/>
      <c r="M811" s="23"/>
      <c r="N811" s="23"/>
    </row>
    <row r="812" spans="3:14" s="21" customFormat="1" ht="15.75" customHeight="1" x14ac:dyDescent="0.25">
      <c r="C812" s="56"/>
      <c r="L812" s="23"/>
      <c r="M812" s="23"/>
      <c r="N812" s="23"/>
    </row>
    <row r="813" spans="3:14" s="21" customFormat="1" ht="15.75" customHeight="1" x14ac:dyDescent="0.25">
      <c r="C813" s="56"/>
      <c r="L813" s="23"/>
      <c r="M813" s="23"/>
      <c r="N813" s="23"/>
    </row>
    <row r="814" spans="3:14" s="21" customFormat="1" ht="15.75" customHeight="1" x14ac:dyDescent="0.25">
      <c r="C814" s="56"/>
      <c r="L814" s="23"/>
      <c r="M814" s="23"/>
      <c r="N814" s="23"/>
    </row>
    <row r="815" spans="3:14" s="21" customFormat="1" ht="15.75" customHeight="1" x14ac:dyDescent="0.25">
      <c r="C815" s="56"/>
      <c r="L815" s="23"/>
      <c r="M815" s="23"/>
      <c r="N815" s="23"/>
    </row>
    <row r="816" spans="3:14" s="21" customFormat="1" ht="15.75" customHeight="1" x14ac:dyDescent="0.25">
      <c r="C816" s="56"/>
      <c r="L816" s="23"/>
      <c r="M816" s="23"/>
      <c r="N816" s="23"/>
    </row>
    <row r="817" spans="3:14" s="21" customFormat="1" ht="15.75" customHeight="1" x14ac:dyDescent="0.25">
      <c r="C817" s="56"/>
      <c r="L817" s="23"/>
      <c r="M817" s="23"/>
      <c r="N817" s="23"/>
    </row>
    <row r="818" spans="3:14" s="21" customFormat="1" ht="15.75" customHeight="1" x14ac:dyDescent="0.25">
      <c r="C818" s="56"/>
      <c r="L818" s="23"/>
      <c r="M818" s="23"/>
      <c r="N818" s="23"/>
    </row>
    <row r="819" spans="3:14" s="21" customFormat="1" ht="15.75" customHeight="1" x14ac:dyDescent="0.25">
      <c r="C819" s="56"/>
      <c r="L819" s="23"/>
      <c r="M819" s="23"/>
      <c r="N819" s="23"/>
    </row>
    <row r="820" spans="3:14" s="21" customFormat="1" ht="15.75" customHeight="1" x14ac:dyDescent="0.25">
      <c r="C820" s="56"/>
      <c r="L820" s="23"/>
      <c r="M820" s="23"/>
      <c r="N820" s="23"/>
    </row>
    <row r="821" spans="3:14" s="21" customFormat="1" ht="15.75" customHeight="1" x14ac:dyDescent="0.25">
      <c r="C821" s="56"/>
      <c r="L821" s="23"/>
      <c r="M821" s="23"/>
      <c r="N821" s="23"/>
    </row>
    <row r="822" spans="3:14" s="21" customFormat="1" ht="15.75" customHeight="1" x14ac:dyDescent="0.25">
      <c r="C822" s="56"/>
      <c r="L822" s="23"/>
      <c r="M822" s="23"/>
      <c r="N822" s="23"/>
    </row>
    <row r="823" spans="3:14" s="21" customFormat="1" ht="15.75" customHeight="1" x14ac:dyDescent="0.25">
      <c r="C823" s="56"/>
      <c r="L823" s="23"/>
      <c r="M823" s="23"/>
      <c r="N823" s="23"/>
    </row>
    <row r="824" spans="3:14" s="21" customFormat="1" ht="15.75" customHeight="1" x14ac:dyDescent="0.25">
      <c r="C824" s="56"/>
      <c r="L824" s="23"/>
      <c r="M824" s="23"/>
      <c r="N824" s="23"/>
    </row>
    <row r="825" spans="3:14" s="21" customFormat="1" ht="15.75" customHeight="1" x14ac:dyDescent="0.25">
      <c r="C825" s="56"/>
      <c r="L825" s="23"/>
      <c r="M825" s="23"/>
      <c r="N825" s="23"/>
    </row>
    <row r="826" spans="3:14" s="21" customFormat="1" ht="15.75" customHeight="1" x14ac:dyDescent="0.25">
      <c r="C826" s="56"/>
      <c r="L826" s="23"/>
      <c r="M826" s="23"/>
      <c r="N826" s="23"/>
    </row>
    <row r="827" spans="3:14" s="21" customFormat="1" ht="15.75" customHeight="1" x14ac:dyDescent="0.25">
      <c r="C827" s="56"/>
      <c r="L827" s="23"/>
      <c r="M827" s="23"/>
      <c r="N827" s="23"/>
    </row>
    <row r="828" spans="3:14" s="21" customFormat="1" ht="15.75" customHeight="1" x14ac:dyDescent="0.25">
      <c r="C828" s="56"/>
      <c r="L828" s="23"/>
      <c r="M828" s="23"/>
      <c r="N828" s="23"/>
    </row>
    <row r="829" spans="3:14" s="21" customFormat="1" ht="15.75" customHeight="1" x14ac:dyDescent="0.25">
      <c r="C829" s="56"/>
      <c r="L829" s="23"/>
      <c r="M829" s="23"/>
      <c r="N829" s="23"/>
    </row>
    <row r="830" spans="3:14" s="21" customFormat="1" ht="15.75" customHeight="1" x14ac:dyDescent="0.25">
      <c r="C830" s="56"/>
      <c r="L830" s="23"/>
      <c r="M830" s="23"/>
      <c r="N830" s="23"/>
    </row>
    <row r="831" spans="3:14" s="21" customFormat="1" ht="15.75" customHeight="1" x14ac:dyDescent="0.25">
      <c r="C831" s="56"/>
      <c r="L831" s="23"/>
      <c r="M831" s="23"/>
      <c r="N831" s="23"/>
    </row>
    <row r="832" spans="3:14" s="21" customFormat="1" ht="15.75" customHeight="1" x14ac:dyDescent="0.25">
      <c r="C832" s="56"/>
      <c r="L832" s="23"/>
      <c r="M832" s="23"/>
      <c r="N832" s="23"/>
    </row>
    <row r="833" spans="3:14" s="21" customFormat="1" ht="15.75" customHeight="1" x14ac:dyDescent="0.25">
      <c r="C833" s="56"/>
      <c r="L833" s="23"/>
      <c r="M833" s="23"/>
      <c r="N833" s="23"/>
    </row>
    <row r="834" spans="3:14" s="21" customFormat="1" ht="15.75" customHeight="1" x14ac:dyDescent="0.25">
      <c r="C834" s="56"/>
      <c r="L834" s="23"/>
      <c r="M834" s="23"/>
      <c r="N834" s="23"/>
    </row>
    <row r="835" spans="3:14" s="21" customFormat="1" ht="15.75" customHeight="1" x14ac:dyDescent="0.25">
      <c r="C835" s="56"/>
      <c r="L835" s="23"/>
      <c r="M835" s="23"/>
      <c r="N835" s="23"/>
    </row>
    <row r="836" spans="3:14" s="21" customFormat="1" ht="15.75" customHeight="1" x14ac:dyDescent="0.25">
      <c r="C836" s="56"/>
      <c r="L836" s="23"/>
      <c r="M836" s="23"/>
      <c r="N836" s="23"/>
    </row>
    <row r="837" spans="3:14" s="21" customFormat="1" ht="15.75" customHeight="1" x14ac:dyDescent="0.25">
      <c r="C837" s="56"/>
      <c r="L837" s="23"/>
      <c r="M837" s="23"/>
      <c r="N837" s="23"/>
    </row>
    <row r="838" spans="3:14" s="21" customFormat="1" ht="15.75" customHeight="1" x14ac:dyDescent="0.25">
      <c r="C838" s="56"/>
      <c r="L838" s="23"/>
      <c r="M838" s="23"/>
      <c r="N838" s="23"/>
    </row>
    <row r="839" spans="3:14" s="21" customFormat="1" ht="15.75" customHeight="1" x14ac:dyDescent="0.25">
      <c r="C839" s="56"/>
      <c r="L839" s="23"/>
      <c r="M839" s="23"/>
      <c r="N839" s="23"/>
    </row>
    <row r="840" spans="3:14" s="21" customFormat="1" ht="15.75" customHeight="1" x14ac:dyDescent="0.25">
      <c r="C840" s="56"/>
      <c r="L840" s="23"/>
      <c r="M840" s="23"/>
      <c r="N840" s="23"/>
    </row>
    <row r="841" spans="3:14" s="21" customFormat="1" ht="15.75" customHeight="1" x14ac:dyDescent="0.25">
      <c r="C841" s="56"/>
      <c r="L841" s="23"/>
      <c r="M841" s="23"/>
      <c r="N841" s="23"/>
    </row>
    <row r="842" spans="3:14" s="21" customFormat="1" ht="15.75" customHeight="1" x14ac:dyDescent="0.25">
      <c r="C842" s="56"/>
      <c r="L842" s="23"/>
      <c r="M842" s="23"/>
      <c r="N842" s="23"/>
    </row>
    <row r="843" spans="3:14" s="21" customFormat="1" ht="15.75" customHeight="1" x14ac:dyDescent="0.25">
      <c r="C843" s="56"/>
      <c r="L843" s="23"/>
      <c r="M843" s="23"/>
      <c r="N843" s="23"/>
    </row>
    <row r="844" spans="3:14" s="21" customFormat="1" ht="15.75" customHeight="1" x14ac:dyDescent="0.25">
      <c r="C844" s="56"/>
      <c r="L844" s="23"/>
      <c r="M844" s="23"/>
      <c r="N844" s="23"/>
    </row>
    <row r="845" spans="3:14" s="21" customFormat="1" ht="15.75" customHeight="1" x14ac:dyDescent="0.25">
      <c r="C845" s="56"/>
      <c r="L845" s="23"/>
      <c r="M845" s="23"/>
      <c r="N845" s="23"/>
    </row>
    <row r="846" spans="3:14" s="21" customFormat="1" ht="15.75" customHeight="1" x14ac:dyDescent="0.25">
      <c r="C846" s="56"/>
      <c r="L846" s="23"/>
      <c r="M846" s="23"/>
      <c r="N846" s="23"/>
    </row>
    <row r="847" spans="3:14" s="21" customFormat="1" ht="15.75" customHeight="1" x14ac:dyDescent="0.25">
      <c r="C847" s="56"/>
      <c r="L847" s="23"/>
      <c r="M847" s="23"/>
      <c r="N847" s="23"/>
    </row>
    <row r="848" spans="3:14" s="21" customFormat="1" ht="15.75" customHeight="1" x14ac:dyDescent="0.25">
      <c r="C848" s="56"/>
      <c r="L848" s="23"/>
      <c r="M848" s="23"/>
      <c r="N848" s="23"/>
    </row>
    <row r="849" spans="3:14" s="21" customFormat="1" ht="15.75" customHeight="1" x14ac:dyDescent="0.25">
      <c r="C849" s="56"/>
      <c r="L849" s="23"/>
      <c r="M849" s="23"/>
      <c r="N849" s="23"/>
    </row>
    <row r="850" spans="3:14" s="21" customFormat="1" ht="15.75" customHeight="1" x14ac:dyDescent="0.25">
      <c r="C850" s="56"/>
      <c r="L850" s="23"/>
      <c r="M850" s="23"/>
      <c r="N850" s="23"/>
    </row>
    <row r="851" spans="3:14" s="21" customFormat="1" ht="15.75" customHeight="1" x14ac:dyDescent="0.25">
      <c r="C851" s="56"/>
      <c r="L851" s="23"/>
      <c r="M851" s="23"/>
      <c r="N851" s="23"/>
    </row>
    <row r="852" spans="3:14" s="21" customFormat="1" ht="15.75" customHeight="1" x14ac:dyDescent="0.25">
      <c r="C852" s="56"/>
      <c r="L852" s="23"/>
      <c r="M852" s="23"/>
      <c r="N852" s="23"/>
    </row>
    <row r="853" spans="3:14" s="21" customFormat="1" ht="15.75" customHeight="1" x14ac:dyDescent="0.25">
      <c r="C853" s="56"/>
      <c r="L853" s="23"/>
      <c r="M853" s="23"/>
      <c r="N853" s="23"/>
    </row>
    <row r="854" spans="3:14" s="21" customFormat="1" ht="15.75" customHeight="1" x14ac:dyDescent="0.25">
      <c r="C854" s="56"/>
      <c r="L854" s="23"/>
      <c r="M854" s="23"/>
      <c r="N854" s="23"/>
    </row>
    <row r="855" spans="3:14" s="21" customFormat="1" ht="15.75" customHeight="1" x14ac:dyDescent="0.25">
      <c r="C855" s="56"/>
      <c r="L855" s="23"/>
      <c r="M855" s="23"/>
      <c r="N855" s="23"/>
    </row>
    <row r="856" spans="3:14" s="21" customFormat="1" ht="15.75" customHeight="1" x14ac:dyDescent="0.25">
      <c r="C856" s="56"/>
      <c r="L856" s="23"/>
      <c r="M856" s="23"/>
      <c r="N856" s="23"/>
    </row>
    <row r="857" spans="3:14" s="21" customFormat="1" ht="15.75" customHeight="1" x14ac:dyDescent="0.25">
      <c r="C857" s="56"/>
      <c r="L857" s="23"/>
      <c r="M857" s="23"/>
      <c r="N857" s="23"/>
    </row>
    <row r="858" spans="3:14" s="21" customFormat="1" ht="15.75" customHeight="1" x14ac:dyDescent="0.25">
      <c r="C858" s="56"/>
      <c r="L858" s="23"/>
      <c r="M858" s="23"/>
      <c r="N858" s="23"/>
    </row>
    <row r="859" spans="3:14" s="21" customFormat="1" ht="15.75" customHeight="1" x14ac:dyDescent="0.25">
      <c r="C859" s="56"/>
      <c r="L859" s="23"/>
      <c r="M859" s="23"/>
      <c r="N859" s="23"/>
    </row>
    <row r="860" spans="3:14" s="21" customFormat="1" ht="15.75" customHeight="1" x14ac:dyDescent="0.25">
      <c r="C860" s="56"/>
      <c r="L860" s="23"/>
      <c r="M860" s="23"/>
      <c r="N860" s="23"/>
    </row>
    <row r="861" spans="3:14" s="21" customFormat="1" ht="15.75" customHeight="1" x14ac:dyDescent="0.25">
      <c r="C861" s="56"/>
      <c r="L861" s="23"/>
      <c r="M861" s="23"/>
      <c r="N861" s="23"/>
    </row>
    <row r="862" spans="3:14" s="21" customFormat="1" ht="15.75" customHeight="1" x14ac:dyDescent="0.25">
      <c r="C862" s="56"/>
      <c r="L862" s="23"/>
      <c r="M862" s="23"/>
      <c r="N862" s="23"/>
    </row>
    <row r="863" spans="3:14" s="21" customFormat="1" ht="15.75" customHeight="1" x14ac:dyDescent="0.25">
      <c r="C863" s="56"/>
      <c r="L863" s="23"/>
      <c r="M863" s="23"/>
      <c r="N863" s="23"/>
    </row>
    <row r="864" spans="3:14" s="21" customFormat="1" ht="15.75" customHeight="1" x14ac:dyDescent="0.25">
      <c r="C864" s="56"/>
      <c r="L864" s="23"/>
      <c r="M864" s="23"/>
      <c r="N864" s="23"/>
    </row>
    <row r="865" spans="3:14" s="21" customFormat="1" ht="15.75" customHeight="1" x14ac:dyDescent="0.25">
      <c r="C865" s="56"/>
      <c r="L865" s="23"/>
      <c r="M865" s="23"/>
      <c r="N865" s="23"/>
    </row>
    <row r="866" spans="3:14" s="21" customFormat="1" ht="15.75" customHeight="1" x14ac:dyDescent="0.25">
      <c r="C866" s="56"/>
      <c r="L866" s="23"/>
      <c r="M866" s="23"/>
      <c r="N866" s="23"/>
    </row>
    <row r="867" spans="3:14" s="21" customFormat="1" ht="15.75" customHeight="1" x14ac:dyDescent="0.25">
      <c r="C867" s="56"/>
      <c r="L867" s="23"/>
      <c r="M867" s="23"/>
      <c r="N867" s="23"/>
    </row>
    <row r="868" spans="3:14" s="21" customFormat="1" ht="15.75" customHeight="1" x14ac:dyDescent="0.25">
      <c r="C868" s="56"/>
      <c r="L868" s="23"/>
      <c r="M868" s="23"/>
      <c r="N868" s="23"/>
    </row>
    <row r="869" spans="3:14" s="21" customFormat="1" ht="15.75" customHeight="1" x14ac:dyDescent="0.25">
      <c r="C869" s="56"/>
      <c r="L869" s="23"/>
      <c r="M869" s="23"/>
      <c r="N869" s="23"/>
    </row>
    <row r="870" spans="3:14" s="21" customFormat="1" ht="15.75" customHeight="1" x14ac:dyDescent="0.25">
      <c r="C870" s="56"/>
      <c r="L870" s="23"/>
      <c r="M870" s="23"/>
      <c r="N870" s="23"/>
    </row>
    <row r="871" spans="3:14" s="21" customFormat="1" ht="15.75" customHeight="1" x14ac:dyDescent="0.25">
      <c r="C871" s="56"/>
      <c r="L871" s="23"/>
      <c r="M871" s="23"/>
      <c r="N871" s="23"/>
    </row>
    <row r="872" spans="3:14" s="21" customFormat="1" ht="15.75" customHeight="1" x14ac:dyDescent="0.25">
      <c r="C872" s="56"/>
      <c r="L872" s="23"/>
      <c r="M872" s="23"/>
      <c r="N872" s="23"/>
    </row>
    <row r="873" spans="3:14" s="21" customFormat="1" ht="15.75" customHeight="1" x14ac:dyDescent="0.25">
      <c r="C873" s="56"/>
      <c r="L873" s="23"/>
      <c r="M873" s="23"/>
      <c r="N873" s="23"/>
    </row>
    <row r="874" spans="3:14" s="21" customFormat="1" ht="15.75" customHeight="1" x14ac:dyDescent="0.25">
      <c r="C874" s="56"/>
      <c r="L874" s="23"/>
      <c r="M874" s="23"/>
      <c r="N874" s="23"/>
    </row>
    <row r="875" spans="3:14" s="21" customFormat="1" ht="15.75" customHeight="1" x14ac:dyDescent="0.25">
      <c r="C875" s="56"/>
      <c r="L875" s="23"/>
      <c r="M875" s="23"/>
      <c r="N875" s="23"/>
    </row>
    <row r="876" spans="3:14" s="21" customFormat="1" ht="15.75" customHeight="1" x14ac:dyDescent="0.25">
      <c r="C876" s="56"/>
      <c r="L876" s="23"/>
      <c r="M876" s="23"/>
      <c r="N876" s="23"/>
    </row>
    <row r="877" spans="3:14" s="21" customFormat="1" ht="15.75" customHeight="1" x14ac:dyDescent="0.25">
      <c r="C877" s="56"/>
      <c r="L877" s="23"/>
      <c r="M877" s="23"/>
      <c r="N877" s="23"/>
    </row>
    <row r="878" spans="3:14" s="21" customFormat="1" ht="15.75" customHeight="1" x14ac:dyDescent="0.25">
      <c r="C878" s="56"/>
      <c r="L878" s="23"/>
      <c r="M878" s="23"/>
      <c r="N878" s="23"/>
    </row>
    <row r="879" spans="3:14" s="21" customFormat="1" ht="15.75" customHeight="1" x14ac:dyDescent="0.25">
      <c r="C879" s="56"/>
      <c r="L879" s="23"/>
      <c r="M879" s="23"/>
      <c r="N879" s="23"/>
    </row>
    <row r="880" spans="3:14" s="21" customFormat="1" ht="15.75" customHeight="1" x14ac:dyDescent="0.25">
      <c r="C880" s="56"/>
      <c r="L880" s="23"/>
      <c r="M880" s="23"/>
      <c r="N880" s="23"/>
    </row>
    <row r="881" spans="3:14" s="21" customFormat="1" ht="15.75" customHeight="1" x14ac:dyDescent="0.25">
      <c r="C881" s="56"/>
      <c r="L881" s="23"/>
      <c r="M881" s="23"/>
      <c r="N881" s="23"/>
    </row>
    <row r="882" spans="3:14" s="21" customFormat="1" ht="15.75" customHeight="1" x14ac:dyDescent="0.25">
      <c r="C882" s="56"/>
      <c r="L882" s="23"/>
      <c r="M882" s="23"/>
      <c r="N882" s="23"/>
    </row>
    <row r="883" spans="3:14" s="21" customFormat="1" ht="15.75" customHeight="1" x14ac:dyDescent="0.25">
      <c r="C883" s="56"/>
      <c r="L883" s="23"/>
      <c r="M883" s="23"/>
      <c r="N883" s="23"/>
    </row>
    <row r="884" spans="3:14" s="21" customFormat="1" ht="15.75" customHeight="1" x14ac:dyDescent="0.25">
      <c r="C884" s="56"/>
      <c r="L884" s="23"/>
      <c r="M884" s="23"/>
      <c r="N884" s="23"/>
    </row>
    <row r="885" spans="3:14" s="21" customFormat="1" ht="15.75" customHeight="1" x14ac:dyDescent="0.25">
      <c r="C885" s="56"/>
      <c r="L885" s="23"/>
      <c r="M885" s="23"/>
      <c r="N885" s="23"/>
    </row>
    <row r="886" spans="3:14" s="21" customFormat="1" ht="15.75" customHeight="1" x14ac:dyDescent="0.25">
      <c r="C886" s="56"/>
      <c r="L886" s="23"/>
      <c r="M886" s="23"/>
      <c r="N886" s="23"/>
    </row>
    <row r="887" spans="3:14" s="21" customFormat="1" ht="15.75" customHeight="1" x14ac:dyDescent="0.25">
      <c r="C887" s="56"/>
      <c r="L887" s="23"/>
      <c r="M887" s="23"/>
      <c r="N887" s="23"/>
    </row>
    <row r="888" spans="3:14" s="21" customFormat="1" ht="15.75" customHeight="1" x14ac:dyDescent="0.25">
      <c r="C888" s="56"/>
      <c r="L888" s="23"/>
      <c r="M888" s="23"/>
      <c r="N888" s="23"/>
    </row>
    <row r="889" spans="3:14" s="21" customFormat="1" ht="15.75" customHeight="1" x14ac:dyDescent="0.25">
      <c r="C889" s="56"/>
      <c r="L889" s="23"/>
      <c r="M889" s="23"/>
      <c r="N889" s="23"/>
    </row>
    <row r="890" spans="3:14" s="21" customFormat="1" ht="15.75" customHeight="1" x14ac:dyDescent="0.25">
      <c r="C890" s="56"/>
      <c r="L890" s="23"/>
      <c r="M890" s="23"/>
      <c r="N890" s="23"/>
    </row>
    <row r="891" spans="3:14" s="21" customFormat="1" ht="15.75" customHeight="1" x14ac:dyDescent="0.25">
      <c r="C891" s="56"/>
      <c r="L891" s="23"/>
      <c r="M891" s="23"/>
      <c r="N891" s="23"/>
    </row>
    <row r="892" spans="3:14" s="21" customFormat="1" ht="15.75" customHeight="1" x14ac:dyDescent="0.25">
      <c r="C892" s="56"/>
      <c r="L892" s="23"/>
      <c r="M892" s="23"/>
      <c r="N892" s="23"/>
    </row>
    <row r="893" spans="3:14" s="21" customFormat="1" ht="15.75" customHeight="1" x14ac:dyDescent="0.25">
      <c r="C893" s="56"/>
      <c r="L893" s="23"/>
      <c r="M893" s="23"/>
      <c r="N893" s="23"/>
    </row>
    <row r="894" spans="3:14" s="21" customFormat="1" ht="15.75" customHeight="1" x14ac:dyDescent="0.25">
      <c r="C894" s="56"/>
      <c r="L894" s="23"/>
      <c r="M894" s="23"/>
      <c r="N894" s="23"/>
    </row>
    <row r="895" spans="3:14" s="21" customFormat="1" ht="15.75" customHeight="1" x14ac:dyDescent="0.25">
      <c r="C895" s="56"/>
      <c r="L895" s="23"/>
      <c r="M895" s="23"/>
      <c r="N895" s="23"/>
    </row>
    <row r="896" spans="3:14" s="21" customFormat="1" ht="15.75" customHeight="1" x14ac:dyDescent="0.25">
      <c r="C896" s="56"/>
      <c r="L896" s="23"/>
      <c r="M896" s="23"/>
      <c r="N896" s="23"/>
    </row>
    <row r="897" spans="3:14" s="21" customFormat="1" ht="15.75" customHeight="1" x14ac:dyDescent="0.25">
      <c r="C897" s="56"/>
      <c r="L897" s="23"/>
      <c r="M897" s="23"/>
      <c r="N897" s="23"/>
    </row>
    <row r="898" spans="3:14" s="21" customFormat="1" ht="15.75" customHeight="1" x14ac:dyDescent="0.25">
      <c r="C898" s="56"/>
      <c r="L898" s="23"/>
      <c r="M898" s="23"/>
      <c r="N898" s="23"/>
    </row>
    <row r="899" spans="3:14" s="21" customFormat="1" ht="15.75" customHeight="1" x14ac:dyDescent="0.25">
      <c r="C899" s="56"/>
      <c r="L899" s="23"/>
      <c r="M899" s="23"/>
      <c r="N899" s="23"/>
    </row>
    <row r="900" spans="3:14" s="21" customFormat="1" ht="15.75" customHeight="1" x14ac:dyDescent="0.25">
      <c r="C900" s="56"/>
      <c r="L900" s="23"/>
      <c r="M900" s="23"/>
      <c r="N900" s="23"/>
    </row>
    <row r="901" spans="3:14" s="21" customFormat="1" ht="15.75" customHeight="1" x14ac:dyDescent="0.25">
      <c r="C901" s="56"/>
      <c r="L901" s="23"/>
      <c r="M901" s="23"/>
      <c r="N901" s="23"/>
    </row>
    <row r="902" spans="3:14" s="21" customFormat="1" ht="15.75" customHeight="1" x14ac:dyDescent="0.25">
      <c r="C902" s="56"/>
      <c r="L902" s="23"/>
      <c r="M902" s="23"/>
      <c r="N902" s="23"/>
    </row>
    <row r="903" spans="3:14" s="21" customFormat="1" ht="15.75" customHeight="1" x14ac:dyDescent="0.25">
      <c r="C903" s="56"/>
      <c r="L903" s="23"/>
      <c r="M903" s="23"/>
      <c r="N903" s="23"/>
    </row>
    <row r="904" spans="3:14" s="21" customFormat="1" ht="15.75" customHeight="1" x14ac:dyDescent="0.25">
      <c r="C904" s="56"/>
      <c r="L904" s="23"/>
      <c r="M904" s="23"/>
      <c r="N904" s="23"/>
    </row>
    <row r="905" spans="3:14" s="21" customFormat="1" ht="15.75" customHeight="1" x14ac:dyDescent="0.25">
      <c r="C905" s="56"/>
      <c r="L905" s="23"/>
      <c r="M905" s="23"/>
      <c r="N905" s="23"/>
    </row>
    <row r="906" spans="3:14" s="21" customFormat="1" ht="15.75" customHeight="1" x14ac:dyDescent="0.25">
      <c r="C906" s="56"/>
      <c r="L906" s="23"/>
      <c r="M906" s="23"/>
      <c r="N906" s="23"/>
    </row>
    <row r="907" spans="3:14" s="21" customFormat="1" ht="15.75" customHeight="1" x14ac:dyDescent="0.25">
      <c r="C907" s="56"/>
      <c r="L907" s="23"/>
      <c r="M907" s="23"/>
      <c r="N907" s="23"/>
    </row>
    <row r="908" spans="3:14" s="21" customFormat="1" ht="15.75" customHeight="1" x14ac:dyDescent="0.25">
      <c r="C908" s="56"/>
      <c r="L908" s="23"/>
      <c r="M908" s="23"/>
      <c r="N908" s="23"/>
    </row>
    <row r="909" spans="3:14" s="21" customFormat="1" ht="15.75" customHeight="1" x14ac:dyDescent="0.25">
      <c r="C909" s="56"/>
      <c r="L909" s="23"/>
      <c r="M909" s="23"/>
      <c r="N909" s="23"/>
    </row>
    <row r="910" spans="3:14" s="21" customFormat="1" ht="15.75" customHeight="1" x14ac:dyDescent="0.25">
      <c r="C910" s="56"/>
      <c r="L910" s="23"/>
      <c r="M910" s="23"/>
      <c r="N910" s="23"/>
    </row>
    <row r="911" spans="3:14" s="21" customFormat="1" ht="15.75" customHeight="1" x14ac:dyDescent="0.25">
      <c r="C911" s="56"/>
      <c r="L911" s="23"/>
      <c r="M911" s="23"/>
      <c r="N911" s="23"/>
    </row>
    <row r="912" spans="3:14" s="21" customFormat="1" ht="15.75" customHeight="1" x14ac:dyDescent="0.25">
      <c r="C912" s="56"/>
      <c r="L912" s="23"/>
      <c r="M912" s="23"/>
      <c r="N912" s="23"/>
    </row>
    <row r="913" spans="3:14" s="21" customFormat="1" ht="15.75" customHeight="1" x14ac:dyDescent="0.25">
      <c r="C913" s="56"/>
      <c r="L913" s="23"/>
      <c r="M913" s="23"/>
      <c r="N913" s="23"/>
    </row>
    <row r="914" spans="3:14" s="21" customFormat="1" ht="15.75" customHeight="1" x14ac:dyDescent="0.25">
      <c r="C914" s="56"/>
      <c r="L914" s="23"/>
      <c r="M914" s="23"/>
      <c r="N914" s="23"/>
    </row>
    <row r="915" spans="3:14" s="21" customFormat="1" ht="15.75" customHeight="1" x14ac:dyDescent="0.25">
      <c r="C915" s="56"/>
      <c r="L915" s="23"/>
      <c r="M915" s="23"/>
      <c r="N915" s="23"/>
    </row>
    <row r="916" spans="3:14" s="21" customFormat="1" ht="15.75" customHeight="1" x14ac:dyDescent="0.25">
      <c r="C916" s="56"/>
      <c r="L916" s="23"/>
      <c r="M916" s="23"/>
      <c r="N916" s="23"/>
    </row>
    <row r="917" spans="3:14" s="21" customFormat="1" ht="15.75" customHeight="1" x14ac:dyDescent="0.25">
      <c r="C917" s="56"/>
      <c r="L917" s="23"/>
      <c r="M917" s="23"/>
      <c r="N917" s="23"/>
    </row>
    <row r="918" spans="3:14" s="21" customFormat="1" ht="15.75" customHeight="1" x14ac:dyDescent="0.25">
      <c r="C918" s="56"/>
      <c r="L918" s="23"/>
      <c r="M918" s="23"/>
      <c r="N918" s="23"/>
    </row>
    <row r="919" spans="3:14" s="21" customFormat="1" ht="15.75" customHeight="1" x14ac:dyDescent="0.25">
      <c r="C919" s="56"/>
      <c r="L919" s="23"/>
      <c r="M919" s="23"/>
      <c r="N919" s="23"/>
    </row>
    <row r="920" spans="3:14" s="21" customFormat="1" ht="15.75" customHeight="1" x14ac:dyDescent="0.25">
      <c r="C920" s="56"/>
      <c r="L920" s="23"/>
      <c r="M920" s="23"/>
      <c r="N920" s="23"/>
    </row>
    <row r="921" spans="3:14" s="21" customFormat="1" ht="15.75" customHeight="1" x14ac:dyDescent="0.25">
      <c r="C921" s="56"/>
      <c r="L921" s="23"/>
      <c r="M921" s="23"/>
      <c r="N921" s="23"/>
    </row>
    <row r="922" spans="3:14" s="21" customFormat="1" ht="15.75" customHeight="1" x14ac:dyDescent="0.25">
      <c r="C922" s="56"/>
      <c r="L922" s="23"/>
      <c r="M922" s="23"/>
      <c r="N922" s="23"/>
    </row>
    <row r="923" spans="3:14" s="21" customFormat="1" ht="15.75" customHeight="1" x14ac:dyDescent="0.25">
      <c r="C923" s="56"/>
      <c r="L923" s="23"/>
      <c r="M923" s="23"/>
      <c r="N923" s="23"/>
    </row>
    <row r="924" spans="3:14" s="21" customFormat="1" ht="15.75" customHeight="1" x14ac:dyDescent="0.25">
      <c r="C924" s="56"/>
      <c r="L924" s="23"/>
      <c r="M924" s="23"/>
      <c r="N924" s="23"/>
    </row>
    <row r="925" spans="3:14" s="21" customFormat="1" ht="15.75" customHeight="1" x14ac:dyDescent="0.25">
      <c r="C925" s="56"/>
      <c r="L925" s="23"/>
      <c r="M925" s="23"/>
      <c r="N925" s="23"/>
    </row>
    <row r="926" spans="3:14" s="21" customFormat="1" ht="15.75" customHeight="1" x14ac:dyDescent="0.25">
      <c r="C926" s="56"/>
      <c r="L926" s="23"/>
      <c r="M926" s="23"/>
      <c r="N926" s="23"/>
    </row>
    <row r="927" spans="3:14" s="21" customFormat="1" ht="15.75" customHeight="1" x14ac:dyDescent="0.25">
      <c r="C927" s="56"/>
      <c r="L927" s="23"/>
      <c r="M927" s="23"/>
      <c r="N927" s="23"/>
    </row>
    <row r="928" spans="3:14" s="21" customFormat="1" ht="15.75" customHeight="1" x14ac:dyDescent="0.25">
      <c r="C928" s="56"/>
      <c r="L928" s="23"/>
      <c r="M928" s="23"/>
      <c r="N928" s="23"/>
    </row>
    <row r="929" spans="3:14" s="21" customFormat="1" ht="15.75" customHeight="1" x14ac:dyDescent="0.25">
      <c r="C929" s="56"/>
      <c r="L929" s="23"/>
      <c r="M929" s="23"/>
      <c r="N929" s="23"/>
    </row>
    <row r="930" spans="3:14" s="21" customFormat="1" ht="15.75" customHeight="1" x14ac:dyDescent="0.25">
      <c r="C930" s="56"/>
      <c r="L930" s="23"/>
      <c r="M930" s="23"/>
      <c r="N930" s="23"/>
    </row>
    <row r="931" spans="3:14" s="21" customFormat="1" ht="15.75" customHeight="1" x14ac:dyDescent="0.25">
      <c r="C931" s="56"/>
      <c r="L931" s="23"/>
      <c r="M931" s="23"/>
      <c r="N931" s="23"/>
    </row>
    <row r="932" spans="3:14" s="21" customFormat="1" ht="15.75" customHeight="1" x14ac:dyDescent="0.25">
      <c r="C932" s="56"/>
      <c r="L932" s="23"/>
      <c r="M932" s="23"/>
      <c r="N932" s="23"/>
    </row>
    <row r="933" spans="3:14" s="21" customFormat="1" ht="15.75" customHeight="1" x14ac:dyDescent="0.25">
      <c r="C933" s="56"/>
      <c r="L933" s="23"/>
      <c r="M933" s="23"/>
      <c r="N933" s="23"/>
    </row>
    <row r="934" spans="3:14" s="21" customFormat="1" ht="15.75" customHeight="1" x14ac:dyDescent="0.25">
      <c r="C934" s="56"/>
      <c r="L934" s="23"/>
      <c r="M934" s="23"/>
      <c r="N934" s="23"/>
    </row>
    <row r="935" spans="3:14" s="21" customFormat="1" ht="15.75" customHeight="1" x14ac:dyDescent="0.25">
      <c r="C935" s="56"/>
      <c r="L935" s="23"/>
      <c r="M935" s="23"/>
      <c r="N935" s="23"/>
    </row>
    <row r="936" spans="3:14" s="21" customFormat="1" ht="15.75" customHeight="1" x14ac:dyDescent="0.25">
      <c r="C936" s="56"/>
      <c r="L936" s="23"/>
      <c r="M936" s="23"/>
      <c r="N936" s="23"/>
    </row>
    <row r="937" spans="3:14" s="21" customFormat="1" ht="15.75" customHeight="1" x14ac:dyDescent="0.25">
      <c r="C937" s="56"/>
      <c r="L937" s="23"/>
      <c r="M937" s="23"/>
      <c r="N937" s="23"/>
    </row>
    <row r="938" spans="3:14" s="21" customFormat="1" ht="15.75" customHeight="1" x14ac:dyDescent="0.25">
      <c r="C938" s="56"/>
      <c r="L938" s="23"/>
      <c r="M938" s="23"/>
      <c r="N938" s="23"/>
    </row>
    <row r="939" spans="3:14" s="21" customFormat="1" ht="15.75" customHeight="1" x14ac:dyDescent="0.25">
      <c r="C939" s="56"/>
      <c r="L939" s="23"/>
      <c r="M939" s="23"/>
      <c r="N939" s="23"/>
    </row>
    <row r="940" spans="3:14" s="21" customFormat="1" ht="15.75" customHeight="1" x14ac:dyDescent="0.25">
      <c r="C940" s="56"/>
      <c r="L940" s="23"/>
      <c r="M940" s="23"/>
      <c r="N940" s="23"/>
    </row>
    <row r="941" spans="3:14" s="21" customFormat="1" ht="15.75" customHeight="1" x14ac:dyDescent="0.25">
      <c r="C941" s="56"/>
      <c r="L941" s="23"/>
      <c r="M941" s="23"/>
      <c r="N941" s="23"/>
    </row>
    <row r="942" spans="3:14" s="21" customFormat="1" ht="15.75" customHeight="1" x14ac:dyDescent="0.25">
      <c r="C942" s="56"/>
      <c r="L942" s="23"/>
      <c r="M942" s="23"/>
      <c r="N942" s="23"/>
    </row>
    <row r="943" spans="3:14" s="21" customFormat="1" ht="15.75" customHeight="1" x14ac:dyDescent="0.25">
      <c r="C943" s="56"/>
      <c r="L943" s="23"/>
      <c r="M943" s="23"/>
      <c r="N943" s="23"/>
    </row>
    <row r="944" spans="3:14" s="21" customFormat="1" ht="15.75" customHeight="1" x14ac:dyDescent="0.25">
      <c r="C944" s="56"/>
      <c r="L944" s="23"/>
      <c r="M944" s="23"/>
      <c r="N944" s="23"/>
    </row>
    <row r="945" spans="3:14" s="21" customFormat="1" ht="15.75" customHeight="1" x14ac:dyDescent="0.25">
      <c r="C945" s="56"/>
      <c r="L945" s="23"/>
      <c r="M945" s="23"/>
      <c r="N945" s="23"/>
    </row>
    <row r="946" spans="3:14" s="21" customFormat="1" ht="15.75" customHeight="1" x14ac:dyDescent="0.25">
      <c r="C946" s="56"/>
      <c r="L946" s="23"/>
      <c r="M946" s="23"/>
      <c r="N946" s="23"/>
    </row>
    <row r="947" spans="3:14" s="21" customFormat="1" ht="15.75" customHeight="1" x14ac:dyDescent="0.25">
      <c r="C947" s="56"/>
      <c r="L947" s="23"/>
      <c r="M947" s="23"/>
      <c r="N947" s="23"/>
    </row>
    <row r="948" spans="3:14" s="21" customFormat="1" ht="15.75" customHeight="1" x14ac:dyDescent="0.25">
      <c r="C948" s="56"/>
      <c r="L948" s="23"/>
      <c r="M948" s="23"/>
      <c r="N948" s="23"/>
    </row>
    <row r="949" spans="3:14" s="21" customFormat="1" ht="15.75" customHeight="1" x14ac:dyDescent="0.25">
      <c r="C949" s="56"/>
      <c r="L949" s="23"/>
      <c r="M949" s="23"/>
      <c r="N949" s="23"/>
    </row>
    <row r="950" spans="3:14" s="21" customFormat="1" ht="15.75" customHeight="1" x14ac:dyDescent="0.25">
      <c r="C950" s="56"/>
      <c r="L950" s="23"/>
      <c r="M950" s="23"/>
      <c r="N950" s="23"/>
    </row>
    <row r="951" spans="3:14" s="21" customFormat="1" ht="15.75" customHeight="1" x14ac:dyDescent="0.25">
      <c r="C951" s="56"/>
      <c r="L951" s="23"/>
      <c r="M951" s="23"/>
      <c r="N951" s="23"/>
    </row>
    <row r="952" spans="3:14" s="21" customFormat="1" ht="15.75" customHeight="1" x14ac:dyDescent="0.25">
      <c r="C952" s="56"/>
      <c r="L952" s="23"/>
      <c r="M952" s="23"/>
      <c r="N952" s="23"/>
    </row>
    <row r="953" spans="3:14" s="21" customFormat="1" ht="15.75" customHeight="1" x14ac:dyDescent="0.25">
      <c r="C953" s="56"/>
      <c r="L953" s="23"/>
      <c r="M953" s="23"/>
      <c r="N953" s="23"/>
    </row>
    <row r="954" spans="3:14" s="21" customFormat="1" ht="15.75" customHeight="1" x14ac:dyDescent="0.25">
      <c r="C954" s="56"/>
      <c r="L954" s="23"/>
      <c r="M954" s="23"/>
      <c r="N954" s="23"/>
    </row>
    <row r="955" spans="3:14" s="21" customFormat="1" ht="15.75" customHeight="1" x14ac:dyDescent="0.25">
      <c r="C955" s="56"/>
      <c r="L955" s="23"/>
      <c r="M955" s="23"/>
      <c r="N955" s="23"/>
    </row>
    <row r="956" spans="3:14" s="21" customFormat="1" ht="15.75" customHeight="1" x14ac:dyDescent="0.25">
      <c r="C956" s="56"/>
      <c r="L956" s="23"/>
      <c r="M956" s="23"/>
      <c r="N956" s="23"/>
    </row>
    <row r="957" spans="3:14" s="21" customFormat="1" ht="15.75" customHeight="1" x14ac:dyDescent="0.25">
      <c r="C957" s="56"/>
      <c r="L957" s="23"/>
      <c r="M957" s="23"/>
      <c r="N957" s="23"/>
    </row>
    <row r="958" spans="3:14" s="21" customFormat="1" ht="15.75" customHeight="1" x14ac:dyDescent="0.25">
      <c r="C958" s="56"/>
      <c r="L958" s="23"/>
      <c r="M958" s="23"/>
      <c r="N958" s="23"/>
    </row>
    <row r="959" spans="3:14" s="21" customFormat="1" ht="15.75" customHeight="1" x14ac:dyDescent="0.25">
      <c r="C959" s="56"/>
      <c r="L959" s="23"/>
      <c r="M959" s="23"/>
      <c r="N959" s="23"/>
    </row>
    <row r="960" spans="3:14" s="21" customFormat="1" ht="15.75" customHeight="1" x14ac:dyDescent="0.25">
      <c r="C960" s="56"/>
      <c r="L960" s="23"/>
      <c r="M960" s="23"/>
      <c r="N960" s="23"/>
    </row>
    <row r="961" spans="3:14" s="21" customFormat="1" ht="15.75" customHeight="1" x14ac:dyDescent="0.25">
      <c r="C961" s="56"/>
      <c r="L961" s="23"/>
      <c r="M961" s="23"/>
      <c r="N961" s="23"/>
    </row>
    <row r="962" spans="3:14" s="21" customFormat="1" ht="15.75" customHeight="1" x14ac:dyDescent="0.25">
      <c r="C962" s="56"/>
      <c r="L962" s="23"/>
      <c r="M962" s="23"/>
      <c r="N962" s="23"/>
    </row>
    <row r="963" spans="3:14" s="21" customFormat="1" ht="15.75" customHeight="1" x14ac:dyDescent="0.25">
      <c r="C963" s="56"/>
      <c r="L963" s="23"/>
      <c r="M963" s="23"/>
      <c r="N963" s="23"/>
    </row>
    <row r="964" spans="3:14" s="21" customFormat="1" ht="15.75" customHeight="1" x14ac:dyDescent="0.25">
      <c r="C964" s="56"/>
      <c r="L964" s="23"/>
      <c r="M964" s="23"/>
      <c r="N964" s="23"/>
    </row>
    <row r="965" spans="3:14" s="21" customFormat="1" ht="15.75" customHeight="1" x14ac:dyDescent="0.25">
      <c r="C965" s="56"/>
      <c r="L965" s="23"/>
      <c r="M965" s="23"/>
      <c r="N965" s="23"/>
    </row>
    <row r="966" spans="3:14" s="21" customFormat="1" ht="15.75" customHeight="1" x14ac:dyDescent="0.25">
      <c r="C966" s="56"/>
      <c r="L966" s="23"/>
      <c r="M966" s="23"/>
      <c r="N966" s="23"/>
    </row>
    <row r="967" spans="3:14" s="21" customFormat="1" ht="15.75" customHeight="1" x14ac:dyDescent="0.25">
      <c r="C967" s="56"/>
      <c r="L967" s="23"/>
      <c r="M967" s="23"/>
      <c r="N967" s="23"/>
    </row>
    <row r="968" spans="3:14" s="21" customFormat="1" ht="15.75" customHeight="1" x14ac:dyDescent="0.25">
      <c r="C968" s="56"/>
      <c r="L968" s="23"/>
      <c r="M968" s="23"/>
      <c r="N968" s="23"/>
    </row>
    <row r="969" spans="3:14" s="21" customFormat="1" ht="15.75" customHeight="1" x14ac:dyDescent="0.25">
      <c r="C969" s="56"/>
      <c r="L969" s="23"/>
      <c r="M969" s="23"/>
      <c r="N969" s="23"/>
    </row>
    <row r="970" spans="3:14" s="21" customFormat="1" ht="15.75" customHeight="1" x14ac:dyDescent="0.25">
      <c r="C970" s="56"/>
      <c r="L970" s="23"/>
      <c r="M970" s="23"/>
      <c r="N970" s="23"/>
    </row>
    <row r="971" spans="3:14" s="21" customFormat="1" ht="15.75" customHeight="1" x14ac:dyDescent="0.25">
      <c r="C971" s="56"/>
      <c r="L971" s="23"/>
      <c r="M971" s="23"/>
      <c r="N971" s="23"/>
    </row>
    <row r="972" spans="3:14" s="21" customFormat="1" ht="15.75" customHeight="1" x14ac:dyDescent="0.25">
      <c r="C972" s="56"/>
      <c r="L972" s="23"/>
      <c r="M972" s="23"/>
      <c r="N972" s="23"/>
    </row>
    <row r="973" spans="3:14" s="21" customFormat="1" ht="15.75" customHeight="1" x14ac:dyDescent="0.25">
      <c r="C973" s="56"/>
      <c r="L973" s="23"/>
      <c r="M973" s="23"/>
      <c r="N973" s="23"/>
    </row>
    <row r="974" spans="3:14" s="21" customFormat="1" ht="15.75" customHeight="1" x14ac:dyDescent="0.25">
      <c r="C974" s="56"/>
      <c r="L974" s="23"/>
      <c r="M974" s="23"/>
      <c r="N974" s="23"/>
    </row>
    <row r="975" spans="3:14" s="21" customFormat="1" ht="15.75" customHeight="1" x14ac:dyDescent="0.25">
      <c r="C975" s="56"/>
      <c r="L975" s="23"/>
      <c r="M975" s="23"/>
      <c r="N975" s="23"/>
    </row>
    <row r="976" spans="3:14" s="21" customFormat="1" ht="15.75" customHeight="1" x14ac:dyDescent="0.25">
      <c r="C976" s="56"/>
      <c r="L976" s="23"/>
      <c r="M976" s="23"/>
      <c r="N976" s="23"/>
    </row>
    <row r="977" spans="3:14" s="21" customFormat="1" ht="15.75" customHeight="1" x14ac:dyDescent="0.25">
      <c r="C977" s="56"/>
      <c r="L977" s="23"/>
      <c r="M977" s="23"/>
      <c r="N977" s="23"/>
    </row>
    <row r="978" spans="3:14" s="21" customFormat="1" ht="15.75" customHeight="1" x14ac:dyDescent="0.25">
      <c r="C978" s="56"/>
      <c r="L978" s="23"/>
      <c r="M978" s="23"/>
      <c r="N978" s="23"/>
    </row>
    <row r="979" spans="3:14" s="21" customFormat="1" ht="15.75" customHeight="1" x14ac:dyDescent="0.25">
      <c r="C979" s="56"/>
      <c r="L979" s="23"/>
      <c r="M979" s="23"/>
      <c r="N979" s="23"/>
    </row>
    <row r="980" spans="3:14" s="21" customFormat="1" ht="15.75" customHeight="1" x14ac:dyDescent="0.25">
      <c r="C980" s="56"/>
      <c r="L980" s="23"/>
      <c r="M980" s="23"/>
      <c r="N980" s="23"/>
    </row>
    <row r="981" spans="3:14" s="21" customFormat="1" ht="15.75" customHeight="1" x14ac:dyDescent="0.25">
      <c r="C981" s="56"/>
      <c r="L981" s="23"/>
      <c r="M981" s="23"/>
      <c r="N981" s="23"/>
    </row>
    <row r="982" spans="3:14" s="21" customFormat="1" ht="15.75" customHeight="1" x14ac:dyDescent="0.25">
      <c r="C982" s="56"/>
      <c r="L982" s="23"/>
      <c r="M982" s="23"/>
      <c r="N982" s="23"/>
    </row>
    <row r="983" spans="3:14" s="21" customFormat="1" ht="15.75" customHeight="1" x14ac:dyDescent="0.25">
      <c r="C983" s="56"/>
      <c r="L983" s="23"/>
      <c r="M983" s="23"/>
      <c r="N983" s="23"/>
    </row>
    <row r="984" spans="3:14" s="21" customFormat="1" ht="15.75" customHeight="1" x14ac:dyDescent="0.25">
      <c r="C984" s="56"/>
      <c r="L984" s="23"/>
      <c r="M984" s="23"/>
      <c r="N984" s="23"/>
    </row>
    <row r="985" spans="3:14" s="21" customFormat="1" ht="15.75" customHeight="1" x14ac:dyDescent="0.25">
      <c r="C985" s="56"/>
      <c r="L985" s="23"/>
      <c r="M985" s="23"/>
      <c r="N985" s="23"/>
    </row>
    <row r="986" spans="3:14" s="21" customFormat="1" ht="15.75" customHeight="1" x14ac:dyDescent="0.25">
      <c r="C986" s="56"/>
      <c r="L986" s="23"/>
      <c r="M986" s="23"/>
      <c r="N986" s="23"/>
    </row>
    <row r="987" spans="3:14" s="21" customFormat="1" ht="15.75" customHeight="1" x14ac:dyDescent="0.25">
      <c r="C987" s="56"/>
      <c r="L987" s="23"/>
      <c r="M987" s="23"/>
      <c r="N987" s="23"/>
    </row>
    <row r="988" spans="3:14" s="21" customFormat="1" ht="15.75" customHeight="1" x14ac:dyDescent="0.25">
      <c r="C988" s="56"/>
      <c r="L988" s="23"/>
      <c r="M988" s="23"/>
      <c r="N988" s="23"/>
    </row>
    <row r="989" spans="3:14" s="21" customFormat="1" ht="15.75" customHeight="1" x14ac:dyDescent="0.25">
      <c r="C989" s="56"/>
      <c r="L989" s="23"/>
      <c r="M989" s="23"/>
      <c r="N989" s="23"/>
    </row>
    <row r="990" spans="3:14" s="21" customFormat="1" ht="15.75" customHeight="1" x14ac:dyDescent="0.25">
      <c r="C990" s="56"/>
      <c r="L990" s="23"/>
      <c r="M990" s="23"/>
      <c r="N990" s="23"/>
    </row>
    <row r="991" spans="3:14" s="21" customFormat="1" ht="15.75" customHeight="1" x14ac:dyDescent="0.25">
      <c r="C991" s="56"/>
      <c r="L991" s="23"/>
      <c r="M991" s="23"/>
      <c r="N991" s="23"/>
    </row>
    <row r="992" spans="3:14" s="21" customFormat="1" ht="15.75" customHeight="1" x14ac:dyDescent="0.25">
      <c r="C992" s="56"/>
      <c r="L992" s="23"/>
      <c r="M992" s="23"/>
      <c r="N992" s="23"/>
    </row>
    <row r="993" spans="3:14" s="21" customFormat="1" ht="15.75" customHeight="1" x14ac:dyDescent="0.25">
      <c r="C993" s="56"/>
      <c r="L993" s="23"/>
      <c r="M993" s="23"/>
      <c r="N993" s="23"/>
    </row>
    <row r="994" spans="3:14" s="21" customFormat="1" ht="15.75" customHeight="1" x14ac:dyDescent="0.25">
      <c r="C994" s="56"/>
      <c r="L994" s="23"/>
      <c r="M994" s="23"/>
      <c r="N994" s="23"/>
    </row>
    <row r="995" spans="3:14" s="21" customFormat="1" ht="15.75" customHeight="1" x14ac:dyDescent="0.25">
      <c r="C995" s="56"/>
      <c r="L995" s="23"/>
      <c r="M995" s="23"/>
      <c r="N995" s="23"/>
    </row>
    <row r="996" spans="3:14" s="21" customFormat="1" ht="15.75" customHeight="1" x14ac:dyDescent="0.25">
      <c r="C996" s="56"/>
      <c r="L996" s="23"/>
      <c r="M996" s="23"/>
      <c r="N996" s="23"/>
    </row>
    <row r="997" spans="3:14" s="21" customFormat="1" ht="15.75" customHeight="1" x14ac:dyDescent="0.25">
      <c r="C997" s="56"/>
      <c r="L997" s="23"/>
      <c r="M997" s="23"/>
      <c r="N997" s="23"/>
    </row>
    <row r="998" spans="3:14" s="21" customFormat="1" ht="15.75" customHeight="1" x14ac:dyDescent="0.25">
      <c r="C998" s="56"/>
      <c r="L998" s="23"/>
      <c r="M998" s="23"/>
      <c r="N998" s="23"/>
    </row>
    <row r="999" spans="3:14" s="21" customFormat="1" ht="15.75" customHeight="1" x14ac:dyDescent="0.25">
      <c r="C999" s="56"/>
      <c r="L999" s="23"/>
      <c r="M999" s="23"/>
      <c r="N999" s="23"/>
    </row>
    <row r="1000" spans="3:14" s="21" customFormat="1" ht="15.75" customHeight="1" x14ac:dyDescent="0.25">
      <c r="C1000" s="56"/>
      <c r="L1000" s="23"/>
      <c r="M1000" s="23"/>
      <c r="N1000" s="23"/>
    </row>
  </sheetData>
  <hyperlinks>
    <hyperlink ref="A2" r:id="rId1" xr:uid="{00000000-0004-0000-0000-000000000000}"/>
    <hyperlink ref="A3" r:id="rId2" xr:uid="{00000000-0004-0000-0000-000001000000}"/>
    <hyperlink ref="A4" r:id="rId3" xr:uid="{00000000-0004-0000-0000-000002000000}"/>
    <hyperlink ref="A5" r:id="rId4" xr:uid="{00000000-0004-0000-0000-000003000000}"/>
    <hyperlink ref="A6" r:id="rId5" xr:uid="{00000000-0004-0000-0000-000004000000}"/>
    <hyperlink ref="A7" r:id="rId6" xr:uid="{00000000-0004-0000-0000-000005000000}"/>
    <hyperlink ref="A8" r:id="rId7" xr:uid="{00000000-0004-0000-0000-000006000000}"/>
    <hyperlink ref="A9" r:id="rId8" xr:uid="{00000000-0004-0000-0000-000007000000}"/>
  </hyperlinks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 tint="0.79998168889431442"/>
    <outlinePr summaryBelow="0" summaryRight="0"/>
  </sheetPr>
  <dimension ref="A1:Y86"/>
  <sheetViews>
    <sheetView topLeftCell="C1" workbookViewId="0">
      <selection activeCell="C7" sqref="C7"/>
    </sheetView>
  </sheetViews>
  <sheetFormatPr defaultColWidth="14.42578125" defaultRowHeight="15" customHeight="1" x14ac:dyDescent="0.25"/>
  <cols>
    <col min="1" max="1" width="7.7109375" style="1" customWidth="1"/>
    <col min="2" max="2" width="5.7109375" style="2" customWidth="1"/>
    <col min="3" max="3" width="15.7109375" style="1" customWidth="1"/>
    <col min="4" max="4" width="7.7109375" style="1" customWidth="1"/>
    <col min="5" max="5" width="5.7109375" style="2" customWidth="1"/>
    <col min="6" max="6" width="15.7109375" style="1" customWidth="1"/>
    <col min="7" max="7" width="7.7109375" style="1" customWidth="1"/>
    <col min="8" max="8" width="5.7109375" style="2" customWidth="1"/>
    <col min="9" max="9" width="15.7109375" style="1" customWidth="1"/>
    <col min="10" max="10" width="7.7109375" style="1" customWidth="1"/>
    <col min="11" max="11" width="5.7109375" style="2" customWidth="1"/>
    <col min="12" max="12" width="15.7109375" style="1" customWidth="1"/>
    <col min="13" max="13" width="7.7109375" style="1" customWidth="1"/>
    <col min="14" max="14" width="5.7109375" style="2" customWidth="1"/>
    <col min="15" max="15" width="15.7109375" style="1" customWidth="1"/>
    <col min="16" max="16" width="7.7109375" style="1" customWidth="1"/>
    <col min="17" max="17" width="5.7109375" style="2" customWidth="1"/>
    <col min="18" max="18" width="30.7109375" style="1" customWidth="1"/>
    <col min="19" max="19" width="7.7109375" style="1" customWidth="1"/>
    <col min="20" max="20" width="5.7109375" style="2" customWidth="1"/>
    <col min="21" max="21" width="15.7109375" style="1" customWidth="1"/>
    <col min="22" max="22" width="16" style="1" customWidth="1"/>
    <col min="23" max="16384" width="14.42578125" style="1"/>
  </cols>
  <sheetData>
    <row r="1" spans="1:24" ht="15.75" thickBot="1" x14ac:dyDescent="0.3">
      <c r="A1" s="31" t="s">
        <v>10</v>
      </c>
      <c r="B1" s="29"/>
      <c r="C1" s="30" t="str" cm="1">
        <f t="array" ref="C1:C6">_xlfn.UNIQUE(_xlfn._xlws.FILTER(List!D:D,List!D:D&lt;&gt;""))</f>
        <v>Color</v>
      </c>
      <c r="D1" s="31" t="s">
        <v>10</v>
      </c>
      <c r="E1" s="29"/>
      <c r="F1" s="30" t="str" cm="1">
        <f t="array" ref="F1:F3">_xlfn.UNIQUE(_xlfn._xlws.FILTER(List!E:E,List!E:E&lt;&gt;""))</f>
        <v>Form</v>
      </c>
      <c r="G1" s="31" t="s">
        <v>10</v>
      </c>
      <c r="H1" s="29"/>
      <c r="I1" s="30" t="str" cm="1">
        <f t="array" ref="I1:I3">_xlfn.UNIQUE(_xlfn._xlws.FILTER(List!F:F,List!F:F&lt;&gt;""))</f>
        <v>Style</v>
      </c>
      <c r="J1" s="31" t="s">
        <v>10</v>
      </c>
      <c r="K1" s="29"/>
      <c r="L1" s="30" t="str" cm="1">
        <f t="array" ref="L1:L7">_xlfn.UNIQUE(_xlfn._xlws.FILTER(List!G:G,List!G:G&lt;&gt;""))</f>
        <v>Action</v>
      </c>
      <c r="M1" s="31" t="s">
        <v>10</v>
      </c>
      <c r="N1" s="29"/>
      <c r="O1" s="30" t="str" cm="1">
        <f t="array" ref="O1:O8">_xlfn.UNIQUE(_xlfn._xlws.FILTER(List!H:H,List!H:H&lt;&gt;""))</f>
        <v>Emotion</v>
      </c>
      <c r="P1" s="31" t="s">
        <v>10</v>
      </c>
      <c r="Q1" s="29"/>
      <c r="R1" s="30" t="str" cm="1">
        <f t="array" ref="R1:R9">_xlfn.UNIQUE(_xlfn._xlws.FILTER(List!I:I,List!I:I&lt;&gt;""))</f>
        <v>Adornment</v>
      </c>
      <c r="S1" s="31" t="s">
        <v>10</v>
      </c>
      <c r="T1" s="29"/>
      <c r="U1" s="30" t="str" cm="1">
        <f t="array" ref="U1:U2">_xlfn.UNIQUE(_xlfn._xlws.FILTER(List!J:J,List!J:J&lt;&gt;""))</f>
        <v>Gear</v>
      </c>
      <c r="V1" s="42" t="s">
        <v>82</v>
      </c>
      <c r="W1" s="42"/>
      <c r="X1" s="47" t="s">
        <v>86</v>
      </c>
    </row>
    <row r="2" spans="1:24" x14ac:dyDescent="0.25">
      <c r="A2" s="1">
        <f>IF(B2&lt;&gt;"",0.01/(B2/1000),"")</f>
        <v>3.3333333333333335</v>
      </c>
      <c r="B2" s="2">
        <f>IF(COUNTIF(List!D:D,C2)&lt;&gt;0,COUNTIF(List!D:D,C2),"")</f>
        <v>3</v>
      </c>
      <c r="C2" s="1" t="str">
        <v>Neon Pink</v>
      </c>
      <c r="D2" s="1">
        <f>IF(E2&lt;&gt;"",0.01/(E2/1000),"")</f>
        <v>1.4285714285714286</v>
      </c>
      <c r="E2" s="2">
        <f>IF(COUNTIF(List!E:E,F2)&lt;&gt;0,COUNTIF(List!E:E,F2),"")</f>
        <v>7</v>
      </c>
      <c r="F2" s="1" t="str">
        <v>Angel</v>
      </c>
      <c r="G2" s="1">
        <f>IF(H2&lt;&gt;"",0.01/(H2/1000),"")</f>
        <v>2</v>
      </c>
      <c r="H2" s="2">
        <f>IF(COUNTIF(List!F:F,I2)&lt;&gt;0,COUNTIF(List!F:F,I2),"")</f>
        <v>5</v>
      </c>
      <c r="I2" s="1" t="str">
        <v>Cyberpunk</v>
      </c>
      <c r="J2" s="1">
        <f>IF(K2&lt;&gt;"",0.01/(K2/1000),"")</f>
        <v>10</v>
      </c>
      <c r="K2" s="2">
        <f>IF(COUNTIF(List!G:G,L2)&lt;&gt;0,COUNTIF(List!G:G,L2),"")</f>
        <v>1</v>
      </c>
      <c r="L2" s="1" t="str">
        <v>Leaning</v>
      </c>
      <c r="M2" s="1">
        <f>IF(N2&lt;&gt;"",0.01/(N2/1000),"")</f>
        <v>10</v>
      </c>
      <c r="N2" s="2">
        <f>IF(COUNTIF(List!H:H,O2)&lt;&gt;0,COUNTIF(List!H:H,O2),"")</f>
        <v>1</v>
      </c>
      <c r="O2" s="1" t="str">
        <v>Somber</v>
      </c>
      <c r="P2" s="1">
        <f>IF(Q2&lt;&gt;"",0.01/(Q2/1000),"")</f>
        <v>10</v>
      </c>
      <c r="Q2" s="2">
        <f>IF(COUNTIF(List!I:I,R2)&lt;&gt;0,COUNTIF(List!I:I,R2),"")</f>
        <v>1</v>
      </c>
      <c r="R2" s="1" t="str">
        <v>Neon Scarf</v>
      </c>
      <c r="S2" s="1">
        <f>IF(T2&lt;&gt;"",0.01/(T2/1000),"")</f>
        <v>1.25</v>
      </c>
      <c r="T2" s="2">
        <f>IF(COUNTIF(List!J:J,U2)&lt;&gt;0,COUNTIF(List!J:J,U2),"")</f>
        <v>8</v>
      </c>
      <c r="U2" s="1" t="str">
        <v>Wings</v>
      </c>
      <c r="V2" s="43" t="s">
        <v>83</v>
      </c>
      <c r="W2" s="38">
        <v>0.01</v>
      </c>
      <c r="X2" s="1">
        <f>SUM(COUNTIF(A2:A30, "&gt;=10"), COUNTIF(D2:D30, "&gt;=10"), COUNTIF(G2:G30, "&gt;=10"), COUNTIF(K2:K30, "&gt;=10"), COUNTIF(N2:N30, "&gt;=10"), COUNTIF(Q2:Q30, "&gt;=10"), COUNTIF(T2:T30, "&gt;=10"))</f>
        <v>4</v>
      </c>
    </row>
    <row r="3" spans="1:24" x14ac:dyDescent="0.25">
      <c r="A3" s="1">
        <f t="shared" ref="A3:A30" si="0">IF(B3&lt;&gt;"",0.01/(B3/1000),"")</f>
        <v>5</v>
      </c>
      <c r="B3" s="2">
        <f>IF(COUNTIF(List!D:D,C3)&lt;&gt;0,COUNTIF(List!D:D,C3),"")</f>
        <v>2</v>
      </c>
      <c r="C3" s="1" t="str">
        <v>Neon Blue</v>
      </c>
      <c r="D3" s="1">
        <f t="shared" ref="D3:D30" si="1">IF(E3&lt;&gt;"",0.01/(E3/1000),"")</f>
        <v>10</v>
      </c>
      <c r="E3" s="2">
        <f>IF(COUNTIF(List!E:E,F3)&lt;&gt;0,COUNTIF(List!E:E,F3),"")</f>
        <v>1</v>
      </c>
      <c r="F3" s="1" t="str">
        <v>Android</v>
      </c>
      <c r="G3" s="1">
        <f t="shared" ref="G3:G30" si="2">IF(H3&lt;&gt;"",0.01/(H3/1000),"")</f>
        <v>3.3333333333333335</v>
      </c>
      <c r="H3" s="2">
        <f>IF(COUNTIF(List!F:F,I3)&lt;&gt;0,COUNTIF(List!F:F,I3),"")</f>
        <v>3</v>
      </c>
      <c r="I3" s="1" t="str">
        <v>Digital Art</v>
      </c>
      <c r="J3" s="1">
        <f t="shared" ref="J3:J30" si="3">IF(K3&lt;&gt;"",0.01/(K3/1000),"")</f>
        <v>10</v>
      </c>
      <c r="K3" s="2">
        <f>IF(COUNTIF(List!G:G,L3)&lt;&gt;0,COUNTIF(List!G:G,L3),"")</f>
        <v>1</v>
      </c>
      <c r="L3" s="1" t="str">
        <v>Standing</v>
      </c>
      <c r="M3" s="1">
        <f t="shared" ref="M3:M30" si="4">IF(N3&lt;&gt;"",0.01/(N3/1000),"")</f>
        <v>10</v>
      </c>
      <c r="N3" s="2">
        <f>IF(COUNTIF(List!H:H,O3)&lt;&gt;0,COUNTIF(List!H:H,O3),"")</f>
        <v>1</v>
      </c>
      <c r="O3" s="1" t="str">
        <v>Firm</v>
      </c>
      <c r="P3" s="1">
        <f t="shared" ref="P3:P30" si="5">IF(Q3&lt;&gt;"",0.01/(Q3/1000),"")</f>
        <v>10</v>
      </c>
      <c r="Q3" s="2">
        <f>IF(COUNTIF(List!I:I,R3)&lt;&gt;0,COUNTIF(List!I:I,R3),"")</f>
        <v>1</v>
      </c>
      <c r="R3" s="1" t="str">
        <v>Pharaoh Headdress</v>
      </c>
      <c r="S3" s="1" t="str">
        <f t="shared" ref="S3:S30" si="6">IF(T3&lt;&gt;"",0.01/(T3/1000),"")</f>
        <v/>
      </c>
      <c r="T3" s="2" t="str">
        <f>IF(COUNTIF(List!J:J,U3)&lt;&gt;0,COUNTIF(List!J:J,U3),"")</f>
        <v/>
      </c>
      <c r="V3" s="44" t="s">
        <v>71</v>
      </c>
      <c r="W3" s="39">
        <v>0.05</v>
      </c>
      <c r="X3" s="1">
        <v>0.05</v>
      </c>
    </row>
    <row r="4" spans="1:24" x14ac:dyDescent="0.25">
      <c r="A4" s="1">
        <f t="shared" si="0"/>
        <v>10</v>
      </c>
      <c r="B4" s="2">
        <f>IF(COUNTIF(List!D:D,C4)&lt;&gt;0,COUNTIF(List!D:D,C4),"")</f>
        <v>1</v>
      </c>
      <c r="C4" s="1" t="str">
        <v>White</v>
      </c>
      <c r="D4" s="1" t="str">
        <f t="shared" si="1"/>
        <v/>
      </c>
      <c r="E4" s="2" t="str">
        <f>IF(COUNTIF(List!E:E,F4)&lt;&gt;0,COUNTIF(List!E:E,F4),"")</f>
        <v/>
      </c>
      <c r="G4" s="1" t="str">
        <f t="shared" si="2"/>
        <v/>
      </c>
      <c r="H4" s="2" t="str">
        <f>IF(COUNTIF(List!F:F,I4)&lt;&gt;0,COUNTIF(List!F:F,I4),"")</f>
        <v/>
      </c>
      <c r="J4" s="1">
        <f t="shared" si="3"/>
        <v>10</v>
      </c>
      <c r="K4" s="2">
        <f>IF(COUNTIF(List!G:G,L4)&lt;&gt;0,COUNTIF(List!G:G,L4),"")</f>
        <v>1</v>
      </c>
      <c r="L4" s="1" t="str">
        <v>Dancing</v>
      </c>
      <c r="M4" s="1">
        <f t="shared" si="4"/>
        <v>10</v>
      </c>
      <c r="N4" s="2">
        <f>IF(COUNTIF(List!H:H,O4)&lt;&gt;0,COUNTIF(List!H:H,O4),"")</f>
        <v>1</v>
      </c>
      <c r="O4" s="1" t="str">
        <v>Euphoric</v>
      </c>
      <c r="P4" s="1">
        <f t="shared" si="5"/>
        <v>10</v>
      </c>
      <c r="Q4" s="2">
        <f>IF(COUNTIF(List!I:I,R4)&lt;&gt;0,COUNTIF(List!I:I,R4),"")</f>
        <v>1</v>
      </c>
      <c r="R4" s="1" t="str">
        <v>Harem Pants</v>
      </c>
      <c r="S4" s="1" t="str">
        <f t="shared" si="6"/>
        <v/>
      </c>
      <c r="T4" s="2" t="str">
        <f>IF(COUNTIF(List!J:J,U4)&lt;&gt;0,COUNTIF(List!J:J,U4),"")</f>
        <v/>
      </c>
      <c r="V4" s="45" t="s">
        <v>84</v>
      </c>
      <c r="W4" s="40">
        <v>0.25</v>
      </c>
      <c r="X4" s="1">
        <v>0.25</v>
      </c>
    </row>
    <row r="5" spans="1:24" x14ac:dyDescent="0.25">
      <c r="A5" s="1">
        <f t="shared" si="0"/>
        <v>10</v>
      </c>
      <c r="B5" s="2">
        <f>IF(COUNTIF(List!D:D,C5)&lt;&gt;0,COUNTIF(List!D:D,C5),"")</f>
        <v>1</v>
      </c>
      <c r="C5" s="1" t="str">
        <v>Bronze</v>
      </c>
      <c r="D5" s="1" t="str">
        <f t="shared" si="1"/>
        <v/>
      </c>
      <c r="E5" s="2" t="str">
        <f>IF(COUNTIF(List!E:E,F5)&lt;&gt;0,COUNTIF(List!E:E,F5),"")</f>
        <v/>
      </c>
      <c r="G5" s="1" t="str">
        <f t="shared" si="2"/>
        <v/>
      </c>
      <c r="H5" s="2" t="str">
        <f>IF(COUNTIF(List!F:F,I5)&lt;&gt;0,COUNTIF(List!F:F,I5),"")</f>
        <v/>
      </c>
      <c r="J5" s="1">
        <f t="shared" si="3"/>
        <v>3.3333333333333335</v>
      </c>
      <c r="K5" s="2">
        <f>IF(COUNTIF(List!G:G,L5)&lt;&gt;0,COUNTIF(List!G:G,L5),"")</f>
        <v>3</v>
      </c>
      <c r="L5" s="1" t="str">
        <v>Sitting</v>
      </c>
      <c r="M5" s="1">
        <f t="shared" si="4"/>
        <v>10</v>
      </c>
      <c r="N5" s="2">
        <f>IF(COUNTIF(List!H:H,O5)&lt;&gt;0,COUNTIF(List!H:H,O5),"")</f>
        <v>1</v>
      </c>
      <c r="O5" s="1" t="str">
        <v>Bleak</v>
      </c>
      <c r="P5" s="1">
        <f t="shared" si="5"/>
        <v>10</v>
      </c>
      <c r="Q5" s="2">
        <f>IF(COUNTIF(List!I:I,R5)&lt;&gt;0,COUNTIF(List!I:I,R5),"")</f>
        <v>1</v>
      </c>
      <c r="R5" s="1" t="str">
        <v>Pilot Helmet</v>
      </c>
      <c r="S5" s="1" t="str">
        <f t="shared" si="6"/>
        <v/>
      </c>
      <c r="T5" s="2" t="str">
        <f>IF(COUNTIF(List!J:J,U5)&lt;&gt;0,COUNTIF(List!J:J,U5),"")</f>
        <v/>
      </c>
      <c r="V5" s="46" t="s">
        <v>85</v>
      </c>
      <c r="W5" s="41">
        <v>1</v>
      </c>
      <c r="X5" s="1">
        <v>1</v>
      </c>
    </row>
    <row r="6" spans="1:24" x14ac:dyDescent="0.25">
      <c r="A6" s="1">
        <f t="shared" si="0"/>
        <v>10</v>
      </c>
      <c r="B6" s="2">
        <f>IF(COUNTIF(List!D:D,C6)&lt;&gt;0,COUNTIF(List!D:D,C6),"")</f>
        <v>1</v>
      </c>
      <c r="C6" s="1" t="str">
        <v>Black</v>
      </c>
      <c r="D6" s="1" t="str">
        <f t="shared" si="1"/>
        <v/>
      </c>
      <c r="E6" s="2" t="str">
        <f>IF(COUNTIF(List!E:E,F6)&lt;&gt;0,COUNTIF(List!E:E,F6),"")</f>
        <v/>
      </c>
      <c r="G6" s="1" t="str">
        <f t="shared" si="2"/>
        <v/>
      </c>
      <c r="H6" s="2" t="str">
        <f>IF(COUNTIF(List!F:F,I6)&lt;&gt;0,COUNTIF(List!F:F,I6),"")</f>
        <v/>
      </c>
      <c r="J6" s="1">
        <f t="shared" si="3"/>
        <v>10</v>
      </c>
      <c r="K6" s="2">
        <f>IF(COUNTIF(List!G:G,L6)&lt;&gt;0,COUNTIF(List!G:G,L6),"")</f>
        <v>1</v>
      </c>
      <c r="L6" s="1" t="str">
        <v>Seiza</v>
      </c>
      <c r="M6" s="1">
        <f t="shared" si="4"/>
        <v>10</v>
      </c>
      <c r="N6" s="2">
        <f>IF(COUNTIF(List!H:H,O6)&lt;&gt;0,COUNTIF(List!H:H,O6),"")</f>
        <v>1</v>
      </c>
      <c r="O6" s="1" t="str">
        <v>Innocent</v>
      </c>
      <c r="P6" s="1">
        <f t="shared" si="5"/>
        <v>10</v>
      </c>
      <c r="Q6" s="2">
        <f>IF(COUNTIF(List!I:I,R6)&lt;&gt;0,COUNTIF(List!I:I,R6),"")</f>
        <v>1</v>
      </c>
      <c r="R6" s="1" t="str">
        <v>Torn Grecian Dress</v>
      </c>
      <c r="S6" s="1" t="str">
        <f t="shared" si="6"/>
        <v/>
      </c>
      <c r="T6" s="2" t="str">
        <f>IF(COUNTIF(List!J:J,U6)&lt;&gt;0,COUNTIF(List!J:J,U6),"")</f>
        <v/>
      </c>
    </row>
    <row r="7" spans="1:24" x14ac:dyDescent="0.25">
      <c r="A7" s="1" t="str">
        <f t="shared" si="0"/>
        <v/>
      </c>
      <c r="B7" s="2" t="str">
        <f>IF(COUNTIF(List!D:D,C7)&lt;&gt;0,COUNTIF(List!D:D,C7),"")</f>
        <v/>
      </c>
      <c r="D7" s="1" t="str">
        <f t="shared" si="1"/>
        <v/>
      </c>
      <c r="E7" s="2" t="str">
        <f>IF(COUNTIF(List!E:E,F7)&lt;&gt;0,COUNTIF(List!E:E,F7),"")</f>
        <v/>
      </c>
      <c r="G7" s="1" t="str">
        <f t="shared" si="2"/>
        <v/>
      </c>
      <c r="H7" s="2" t="str">
        <f>IF(COUNTIF(List!F:F,I7)&lt;&gt;0,COUNTIF(List!F:F,I7),"")</f>
        <v/>
      </c>
      <c r="J7" s="1">
        <f t="shared" si="3"/>
        <v>10</v>
      </c>
      <c r="K7" s="2">
        <f>IF(COUNTIF(List!G:G,L7)&lt;&gt;0,COUNTIF(List!G:G,L7),"")</f>
        <v>1</v>
      </c>
      <c r="L7" s="1" t="str">
        <v>Posing</v>
      </c>
      <c r="M7" s="1">
        <f t="shared" si="4"/>
        <v>10</v>
      </c>
      <c r="N7" s="2">
        <f>IF(COUNTIF(List!H:H,O7)&lt;&gt;0,COUNTIF(List!H:H,O7),"")</f>
        <v>1</v>
      </c>
      <c r="O7" s="1" t="str">
        <v>Dominant</v>
      </c>
      <c r="P7" s="1">
        <f t="shared" si="5"/>
        <v>10</v>
      </c>
      <c r="Q7" s="2">
        <f>IF(COUNTIF(List!I:I,R7)&lt;&gt;0,COUNTIF(List!I:I,R7),"")</f>
        <v>1</v>
      </c>
      <c r="R7" s="1" t="str">
        <v>Crown</v>
      </c>
      <c r="S7" s="1" t="str">
        <f t="shared" si="6"/>
        <v/>
      </c>
      <c r="T7" s="2" t="str">
        <f>IF(COUNTIF(List!J:J,U7)&lt;&gt;0,COUNTIF(List!J:J,U7),"")</f>
        <v/>
      </c>
    </row>
    <row r="8" spans="1:24" x14ac:dyDescent="0.25">
      <c r="A8" s="1" t="str">
        <f t="shared" si="0"/>
        <v/>
      </c>
      <c r="B8" s="2" t="str">
        <f>IF(COUNTIF(List!D:D,C8)&lt;&gt;0,COUNTIF(List!D:D,C8),"")</f>
        <v/>
      </c>
      <c r="D8" s="1" t="str">
        <f t="shared" si="1"/>
        <v/>
      </c>
      <c r="E8" s="2" t="str">
        <f>IF(COUNTIF(List!E:E,F8)&lt;&gt;0,COUNTIF(List!E:E,F8),"")</f>
        <v/>
      </c>
      <c r="G8" s="1" t="str">
        <f t="shared" si="2"/>
        <v/>
      </c>
      <c r="H8" s="2" t="str">
        <f>IF(COUNTIF(List!F:F,I8)&lt;&gt;0,COUNTIF(List!F:F,I8),"")</f>
        <v/>
      </c>
      <c r="J8" s="1" t="str">
        <f t="shared" si="3"/>
        <v/>
      </c>
      <c r="K8" s="2" t="str">
        <f>IF(COUNTIF(List!G:G,L8)&lt;&gt;0,COUNTIF(List!G:G,L8),"")</f>
        <v/>
      </c>
      <c r="M8" s="1">
        <f t="shared" si="4"/>
        <v>5</v>
      </c>
      <c r="N8" s="2">
        <f>IF(COUNTIF(List!H:H,O8)&lt;&gt;0,COUNTIF(List!H:H,O8),"")</f>
        <v>2</v>
      </c>
      <c r="O8" s="1" t="str">
        <v>Empty</v>
      </c>
      <c r="P8" s="1">
        <f t="shared" si="5"/>
        <v>10</v>
      </c>
      <c r="Q8" s="2">
        <f>IF(COUNTIF(List!I:I,R8)&lt;&gt;0,COUNTIF(List!I:I,R8),"")</f>
        <v>1</v>
      </c>
      <c r="R8" s="1" t="str">
        <v>Turban</v>
      </c>
      <c r="S8" s="1" t="str">
        <f t="shared" si="6"/>
        <v/>
      </c>
      <c r="T8" s="2" t="str">
        <f>IF(COUNTIF(List!J:J,U8)&lt;&gt;0,COUNTIF(List!J:J,U8),"")</f>
        <v/>
      </c>
    </row>
    <row r="9" spans="1:24" x14ac:dyDescent="0.25">
      <c r="A9" s="1" t="str">
        <f t="shared" si="0"/>
        <v/>
      </c>
      <c r="B9" s="2" t="str">
        <f>IF(COUNTIF(List!D:D,C9)&lt;&gt;0,COUNTIF(List!D:D,C9),"")</f>
        <v/>
      </c>
      <c r="D9" s="1" t="str">
        <f t="shared" si="1"/>
        <v/>
      </c>
      <c r="E9" s="2" t="str">
        <f>IF(COUNTIF(List!E:E,F9)&lt;&gt;0,COUNTIF(List!E:E,F9),"")</f>
        <v/>
      </c>
      <c r="G9" s="1" t="str">
        <f t="shared" si="2"/>
        <v/>
      </c>
      <c r="H9" s="2" t="str">
        <f>IF(COUNTIF(List!F:F,I9)&lt;&gt;0,COUNTIF(List!F:F,I9),"")</f>
        <v/>
      </c>
      <c r="J9" s="1" t="str">
        <f t="shared" si="3"/>
        <v/>
      </c>
      <c r="K9" s="2" t="str">
        <f>IF(COUNTIF(List!G:G,L9)&lt;&gt;0,COUNTIF(List!G:G,L9),"")</f>
        <v/>
      </c>
      <c r="M9" s="1" t="str">
        <f t="shared" si="4"/>
        <v/>
      </c>
      <c r="N9" s="2" t="str">
        <f>IF(COUNTIF(List!H:H,O9)&lt;&gt;0,COUNTIF(List!H:H,O9),"")</f>
        <v/>
      </c>
      <c r="P9" s="1">
        <f t="shared" si="5"/>
        <v>10</v>
      </c>
      <c r="Q9" s="2">
        <f>IF(COUNTIF(List!I:I,R9)&lt;&gt;0,COUNTIF(List!I:I,R9),"")</f>
        <v>1</v>
      </c>
      <c r="R9" s="1" t="str">
        <v>Silver Plated Armour</v>
      </c>
      <c r="S9" s="1" t="str">
        <f t="shared" si="6"/>
        <v/>
      </c>
      <c r="T9" s="2" t="str">
        <f>IF(COUNTIF(List!J:J,U9)&lt;&gt;0,COUNTIF(List!J:J,U9),"")</f>
        <v/>
      </c>
    </row>
    <row r="10" spans="1:24" x14ac:dyDescent="0.25">
      <c r="A10" s="1" t="str">
        <f t="shared" si="0"/>
        <v/>
      </c>
      <c r="B10" s="2" t="str">
        <f>IF(COUNTIF(List!D:D,C10)&lt;&gt;0,COUNTIF(List!D:D,C10),"")</f>
        <v/>
      </c>
      <c r="D10" s="1" t="str">
        <f t="shared" si="1"/>
        <v/>
      </c>
      <c r="E10" s="2" t="str">
        <f>IF(COUNTIF(List!E:E,F10)&lt;&gt;0,COUNTIF(List!E:E,F10),"")</f>
        <v/>
      </c>
      <c r="G10" s="1" t="str">
        <f t="shared" si="2"/>
        <v/>
      </c>
      <c r="H10" s="2" t="str">
        <f>IF(COUNTIF(List!F:F,I10)&lt;&gt;0,COUNTIF(List!F:F,I10),"")</f>
        <v/>
      </c>
      <c r="J10" s="1" t="str">
        <f t="shared" si="3"/>
        <v/>
      </c>
      <c r="K10" s="2" t="str">
        <f>IF(COUNTIF(List!G:G,L10)&lt;&gt;0,COUNTIF(List!G:G,L10),"")</f>
        <v/>
      </c>
      <c r="M10" s="1" t="str">
        <f t="shared" si="4"/>
        <v/>
      </c>
      <c r="N10" s="2" t="str">
        <f>IF(COUNTIF(List!H:H,O10)&lt;&gt;0,COUNTIF(List!H:H,O10),"")</f>
        <v/>
      </c>
      <c r="P10" s="1" t="str">
        <f t="shared" si="5"/>
        <v/>
      </c>
      <c r="Q10" s="2" t="str">
        <f>IF(COUNTIF(List!I:I,R10)&lt;&gt;0,COUNTIF(List!I:I,R10),"")</f>
        <v/>
      </c>
      <c r="S10" s="1" t="str">
        <f t="shared" si="6"/>
        <v/>
      </c>
      <c r="T10" s="2" t="str">
        <f>IF(COUNTIF(List!J:J,U10)&lt;&gt;0,COUNTIF(List!J:J,U10),"")</f>
        <v/>
      </c>
    </row>
    <row r="11" spans="1:24" ht="15" customHeight="1" x14ac:dyDescent="0.25">
      <c r="A11" s="1" t="str">
        <f t="shared" si="0"/>
        <v/>
      </c>
      <c r="B11" s="2" t="str">
        <f>IF(COUNTIF(List!D:D,C11)&lt;&gt;0,COUNTIF(List!D:D,C11),"")</f>
        <v/>
      </c>
      <c r="D11" s="1" t="str">
        <f t="shared" si="1"/>
        <v/>
      </c>
      <c r="E11" s="2" t="str">
        <f>IF(COUNTIF(List!E:E,F11)&lt;&gt;0,COUNTIF(List!E:E,F11),"")</f>
        <v/>
      </c>
      <c r="G11" s="1" t="str">
        <f t="shared" si="2"/>
        <v/>
      </c>
      <c r="H11" s="2" t="str">
        <f>IF(COUNTIF(List!F:F,I11)&lt;&gt;0,COUNTIF(List!F:F,I11),"")</f>
        <v/>
      </c>
      <c r="J11" s="1" t="str">
        <f t="shared" si="3"/>
        <v/>
      </c>
      <c r="K11" s="2" t="str">
        <f>IF(COUNTIF(List!G:G,L11)&lt;&gt;0,COUNTIF(List!G:G,L11),"")</f>
        <v/>
      </c>
      <c r="M11" s="1" t="str">
        <f t="shared" si="4"/>
        <v/>
      </c>
      <c r="N11" s="2" t="str">
        <f>IF(COUNTIF(List!H:H,O11)&lt;&gt;0,COUNTIF(List!H:H,O11),"")</f>
        <v/>
      </c>
      <c r="P11" s="1" t="str">
        <f t="shared" si="5"/>
        <v/>
      </c>
      <c r="Q11" s="2" t="str">
        <f>IF(COUNTIF(List!I:I,R11)&lt;&gt;0,COUNTIF(List!I:I,R11),"")</f>
        <v/>
      </c>
      <c r="S11" s="1" t="str">
        <f t="shared" si="6"/>
        <v/>
      </c>
      <c r="T11" s="2" t="str">
        <f>IF(COUNTIF(List!J:J,U11)&lt;&gt;0,COUNTIF(List!J:J,U11),"")</f>
        <v/>
      </c>
    </row>
    <row r="12" spans="1:24" ht="15" customHeight="1" x14ac:dyDescent="0.25">
      <c r="A12" s="1" t="str">
        <f t="shared" si="0"/>
        <v/>
      </c>
      <c r="B12" s="2" t="str">
        <f>IF(COUNTIF(List!D:D,C12)&lt;&gt;0,COUNTIF(List!D:D,C12),"")</f>
        <v/>
      </c>
      <c r="D12" s="1" t="str">
        <f t="shared" si="1"/>
        <v/>
      </c>
      <c r="E12" s="2" t="str">
        <f>IF(COUNTIF(List!E:E,F12)&lt;&gt;0,COUNTIF(List!E:E,F12),"")</f>
        <v/>
      </c>
      <c r="G12" s="1" t="str">
        <f t="shared" si="2"/>
        <v/>
      </c>
      <c r="H12" s="2" t="str">
        <f>IF(COUNTIF(List!F:F,I12)&lt;&gt;0,COUNTIF(List!F:F,I12),"")</f>
        <v/>
      </c>
      <c r="J12" s="1" t="str">
        <f t="shared" si="3"/>
        <v/>
      </c>
      <c r="K12" s="2" t="str">
        <f>IF(COUNTIF(List!G:G,L12)&lt;&gt;0,COUNTIF(List!G:G,L12),"")</f>
        <v/>
      </c>
      <c r="M12" s="1" t="str">
        <f t="shared" si="4"/>
        <v/>
      </c>
      <c r="N12" s="2" t="str">
        <f>IF(COUNTIF(List!H:H,O12)&lt;&gt;0,COUNTIF(List!H:H,O12),"")</f>
        <v/>
      </c>
      <c r="P12" s="1" t="str">
        <f t="shared" si="5"/>
        <v/>
      </c>
      <c r="Q12" s="2" t="str">
        <f>IF(COUNTIF(List!I:I,R12)&lt;&gt;0,COUNTIF(List!I:I,R12),"")</f>
        <v/>
      </c>
      <c r="S12" s="1" t="str">
        <f t="shared" si="6"/>
        <v/>
      </c>
      <c r="T12" s="2" t="str">
        <f>IF(COUNTIF(List!J:J,U12)&lt;&gt;0,COUNTIF(List!J:J,U12),"")</f>
        <v/>
      </c>
    </row>
    <row r="13" spans="1:24" ht="15" customHeight="1" x14ac:dyDescent="0.25">
      <c r="A13" s="1" t="str">
        <f t="shared" si="0"/>
        <v/>
      </c>
      <c r="B13" s="2" t="str">
        <f>IF(COUNTIF(List!D:D,C13)&lt;&gt;0,COUNTIF(List!D:D,C13),"")</f>
        <v/>
      </c>
      <c r="D13" s="1" t="str">
        <f t="shared" si="1"/>
        <v/>
      </c>
      <c r="E13" s="2" t="str">
        <f>IF(COUNTIF(List!E:E,F13)&lt;&gt;0,COUNTIF(List!E:E,F13),"")</f>
        <v/>
      </c>
      <c r="G13" s="1" t="str">
        <f t="shared" si="2"/>
        <v/>
      </c>
      <c r="H13" s="2" t="str">
        <f>IF(COUNTIF(List!F:F,I13)&lt;&gt;0,COUNTIF(List!F:F,I13),"")</f>
        <v/>
      </c>
      <c r="J13" s="1" t="str">
        <f t="shared" si="3"/>
        <v/>
      </c>
      <c r="K13" s="2" t="str">
        <f>IF(COUNTIF(List!G:G,L13)&lt;&gt;0,COUNTIF(List!G:G,L13),"")</f>
        <v/>
      </c>
      <c r="M13" s="1" t="str">
        <f t="shared" si="4"/>
        <v/>
      </c>
      <c r="N13" s="2" t="str">
        <f>IF(COUNTIF(List!H:H,O13)&lt;&gt;0,COUNTIF(List!H:H,O13),"")</f>
        <v/>
      </c>
      <c r="P13" s="1" t="str">
        <f t="shared" si="5"/>
        <v/>
      </c>
      <c r="Q13" s="2" t="str">
        <f>IF(COUNTIF(List!I:I,R13)&lt;&gt;0,COUNTIF(List!I:I,R13),"")</f>
        <v/>
      </c>
      <c r="S13" s="1" t="str">
        <f t="shared" si="6"/>
        <v/>
      </c>
      <c r="T13" s="2" t="str">
        <f>IF(COUNTIF(List!J:J,U13)&lt;&gt;0,COUNTIF(List!J:J,U13),"")</f>
        <v/>
      </c>
    </row>
    <row r="14" spans="1:24" ht="15" customHeight="1" x14ac:dyDescent="0.25">
      <c r="A14" s="1" t="str">
        <f t="shared" si="0"/>
        <v/>
      </c>
      <c r="B14" s="2" t="str">
        <f>IF(COUNTIF(List!D:D,C14)&lt;&gt;0,COUNTIF(List!D:D,C14),"")</f>
        <v/>
      </c>
      <c r="D14" s="1" t="str">
        <f t="shared" si="1"/>
        <v/>
      </c>
      <c r="E14" s="2" t="str">
        <f>IF(COUNTIF(List!E:E,F14)&lt;&gt;0,COUNTIF(List!E:E,F14),"")</f>
        <v/>
      </c>
      <c r="G14" s="1" t="str">
        <f t="shared" si="2"/>
        <v/>
      </c>
      <c r="H14" s="2" t="str">
        <f>IF(COUNTIF(List!F:F,I14)&lt;&gt;0,COUNTIF(List!F:F,I14),"")</f>
        <v/>
      </c>
      <c r="J14" s="1" t="str">
        <f t="shared" si="3"/>
        <v/>
      </c>
      <c r="K14" s="2" t="str">
        <f>IF(COUNTIF(List!G:G,L14)&lt;&gt;0,COUNTIF(List!G:G,L14),"")</f>
        <v/>
      </c>
      <c r="M14" s="1" t="str">
        <f t="shared" si="4"/>
        <v/>
      </c>
      <c r="N14" s="2" t="str">
        <f>IF(COUNTIF(List!H:H,O14)&lt;&gt;0,COUNTIF(List!H:H,O14),"")</f>
        <v/>
      </c>
      <c r="P14" s="1" t="str">
        <f t="shared" si="5"/>
        <v/>
      </c>
      <c r="Q14" s="2" t="str">
        <f>IF(COUNTIF(List!I:I,R14)&lt;&gt;0,COUNTIF(List!I:I,R14),"")</f>
        <v/>
      </c>
      <c r="S14" s="1" t="str">
        <f t="shared" si="6"/>
        <v/>
      </c>
      <c r="T14" s="2" t="str">
        <f>IF(COUNTIF(List!J:J,U14)&lt;&gt;0,COUNTIF(List!J:J,U14),"")</f>
        <v/>
      </c>
    </row>
    <row r="15" spans="1:24" ht="15" customHeight="1" x14ac:dyDescent="0.25">
      <c r="A15" s="1" t="str">
        <f t="shared" si="0"/>
        <v/>
      </c>
      <c r="B15" s="2" t="str">
        <f>IF(COUNTIF(List!D:D,C15)&lt;&gt;0,COUNTIF(List!D:D,C15),"")</f>
        <v/>
      </c>
      <c r="D15" s="1" t="str">
        <f t="shared" si="1"/>
        <v/>
      </c>
      <c r="E15" s="2" t="str">
        <f>IF(COUNTIF(List!E:E,F15)&lt;&gt;0,COUNTIF(List!E:E,F15),"")</f>
        <v/>
      </c>
      <c r="G15" s="1" t="str">
        <f t="shared" si="2"/>
        <v/>
      </c>
      <c r="H15" s="2" t="str">
        <f>IF(COUNTIF(List!F:F,I15)&lt;&gt;0,COUNTIF(List!F:F,I15),"")</f>
        <v/>
      </c>
      <c r="J15" s="1" t="str">
        <f t="shared" si="3"/>
        <v/>
      </c>
      <c r="K15" s="2" t="str">
        <f>IF(COUNTIF(List!G:G,L15)&lt;&gt;0,COUNTIF(List!G:G,L15),"")</f>
        <v/>
      </c>
      <c r="M15" s="1" t="str">
        <f t="shared" si="4"/>
        <v/>
      </c>
      <c r="N15" s="2" t="str">
        <f>IF(COUNTIF(List!H:H,O15)&lt;&gt;0,COUNTIF(List!H:H,O15),"")</f>
        <v/>
      </c>
      <c r="P15" s="1" t="str">
        <f t="shared" si="5"/>
        <v/>
      </c>
      <c r="Q15" s="2" t="str">
        <f>IF(COUNTIF(List!I:I,R15)&lt;&gt;0,COUNTIF(List!I:I,R15),"")</f>
        <v/>
      </c>
      <c r="S15" s="1" t="str">
        <f t="shared" si="6"/>
        <v/>
      </c>
      <c r="T15" s="2" t="str">
        <f>IF(COUNTIF(List!J:J,U15)&lt;&gt;0,COUNTIF(List!J:J,U15),"")</f>
        <v/>
      </c>
    </row>
    <row r="16" spans="1:24" ht="15" customHeight="1" x14ac:dyDescent="0.25">
      <c r="A16" s="1" t="str">
        <f t="shared" si="0"/>
        <v/>
      </c>
      <c r="B16" s="2" t="str">
        <f>IF(COUNTIF(List!D:D,C16)&lt;&gt;0,COUNTIF(List!D:D,C16),"")</f>
        <v/>
      </c>
      <c r="D16" s="1" t="str">
        <f t="shared" si="1"/>
        <v/>
      </c>
      <c r="E16" s="2" t="str">
        <f>IF(COUNTIF(List!E:E,F16)&lt;&gt;0,COUNTIF(List!E:E,F16),"")</f>
        <v/>
      </c>
      <c r="G16" s="1" t="str">
        <f t="shared" si="2"/>
        <v/>
      </c>
      <c r="H16" s="2" t="str">
        <f>IF(COUNTIF(List!F:F,I16)&lt;&gt;0,COUNTIF(List!F:F,I16),"")</f>
        <v/>
      </c>
      <c r="J16" s="1" t="str">
        <f t="shared" si="3"/>
        <v/>
      </c>
      <c r="K16" s="2" t="str">
        <f>IF(COUNTIF(List!G:G,L16)&lt;&gt;0,COUNTIF(List!G:G,L16),"")</f>
        <v/>
      </c>
      <c r="M16" s="1" t="str">
        <f t="shared" si="4"/>
        <v/>
      </c>
      <c r="N16" s="2" t="str">
        <f>IF(COUNTIF(List!H:H,O16)&lt;&gt;0,COUNTIF(List!H:H,O16),"")</f>
        <v/>
      </c>
      <c r="P16" s="1" t="str">
        <f t="shared" si="5"/>
        <v/>
      </c>
      <c r="Q16" s="2" t="str">
        <f>IF(COUNTIF(List!I:I,R16)&lt;&gt;0,COUNTIF(List!I:I,R16),"")</f>
        <v/>
      </c>
      <c r="S16" s="1" t="str">
        <f t="shared" si="6"/>
        <v/>
      </c>
      <c r="T16" s="2" t="str">
        <f>IF(COUNTIF(List!J:J,U16)&lt;&gt;0,COUNTIF(List!J:J,U16),"")</f>
        <v/>
      </c>
    </row>
    <row r="17" spans="1:25" ht="15" customHeight="1" x14ac:dyDescent="0.25">
      <c r="A17" s="1" t="str">
        <f t="shared" si="0"/>
        <v/>
      </c>
      <c r="B17" s="2" t="str">
        <f>IF(COUNTIF(List!D:D,C17)&lt;&gt;0,COUNTIF(List!D:D,C17),"")</f>
        <v/>
      </c>
      <c r="D17" s="1" t="str">
        <f t="shared" si="1"/>
        <v/>
      </c>
      <c r="E17" s="2" t="str">
        <f>IF(COUNTIF(List!E:E,F17)&lt;&gt;0,COUNTIF(List!E:E,F17),"")</f>
        <v/>
      </c>
      <c r="G17" s="1" t="str">
        <f t="shared" si="2"/>
        <v/>
      </c>
      <c r="H17" s="2" t="str">
        <f>IF(COUNTIF(List!F:F,I17)&lt;&gt;0,COUNTIF(List!F:F,I17),"")</f>
        <v/>
      </c>
      <c r="J17" s="1" t="str">
        <f t="shared" si="3"/>
        <v/>
      </c>
      <c r="K17" s="2" t="str">
        <f>IF(COUNTIF(List!G:G,L17)&lt;&gt;0,COUNTIF(List!G:G,L17),"")</f>
        <v/>
      </c>
      <c r="M17" s="1" t="str">
        <f t="shared" si="4"/>
        <v/>
      </c>
      <c r="N17" s="2" t="str">
        <f>IF(COUNTIF(List!H:H,O17)&lt;&gt;0,COUNTIF(List!H:H,O17),"")</f>
        <v/>
      </c>
      <c r="P17" s="1" t="str">
        <f t="shared" si="5"/>
        <v/>
      </c>
      <c r="Q17" s="2" t="str">
        <f>IF(COUNTIF(List!I:I,R17)&lt;&gt;0,COUNTIF(List!I:I,R17),"")</f>
        <v/>
      </c>
      <c r="S17" s="1" t="str">
        <f t="shared" si="6"/>
        <v/>
      </c>
      <c r="T17" s="2" t="str">
        <f>IF(COUNTIF(List!J:J,U17)&lt;&gt;0,COUNTIF(List!J:J,U17),"")</f>
        <v/>
      </c>
    </row>
    <row r="18" spans="1:25" ht="15" customHeight="1" x14ac:dyDescent="0.25">
      <c r="A18" s="1" t="str">
        <f t="shared" si="0"/>
        <v/>
      </c>
      <c r="B18" s="2" t="str">
        <f>IF(COUNTIF(List!D:D,C18)&lt;&gt;0,COUNTIF(List!D:D,C18),"")</f>
        <v/>
      </c>
      <c r="D18" s="1" t="str">
        <f t="shared" si="1"/>
        <v/>
      </c>
      <c r="E18" s="2" t="str">
        <f>IF(COUNTIF(List!E:E,F18)&lt;&gt;0,COUNTIF(List!E:E,F18),"")</f>
        <v/>
      </c>
      <c r="G18" s="1" t="str">
        <f t="shared" si="2"/>
        <v/>
      </c>
      <c r="H18" s="2" t="str">
        <f>IF(COUNTIF(List!F:F,I18)&lt;&gt;0,COUNTIF(List!F:F,I18),"")</f>
        <v/>
      </c>
      <c r="J18" s="1" t="str">
        <f t="shared" si="3"/>
        <v/>
      </c>
      <c r="K18" s="2" t="str">
        <f>IF(COUNTIF(List!G:G,L18)&lt;&gt;0,COUNTIF(List!G:G,L18),"")</f>
        <v/>
      </c>
      <c r="M18" s="1" t="str">
        <f t="shared" si="4"/>
        <v/>
      </c>
      <c r="N18" s="2" t="str">
        <f>IF(COUNTIF(List!H:H,O18)&lt;&gt;0,COUNTIF(List!H:H,O18),"")</f>
        <v/>
      </c>
      <c r="P18" s="1" t="str">
        <f t="shared" si="5"/>
        <v/>
      </c>
      <c r="Q18" s="2" t="str">
        <f>IF(COUNTIF(List!I:I,R18)&lt;&gt;0,COUNTIF(List!I:I,R18),"")</f>
        <v/>
      </c>
      <c r="S18" s="1" t="str">
        <f t="shared" si="6"/>
        <v/>
      </c>
      <c r="T18" s="2" t="str">
        <f>IF(COUNTIF(List!J:J,U18)&lt;&gt;0,COUNTIF(List!J:J,U18),"")</f>
        <v/>
      </c>
    </row>
    <row r="19" spans="1:25" ht="15" customHeight="1" x14ac:dyDescent="0.25">
      <c r="A19" s="1" t="str">
        <f t="shared" si="0"/>
        <v/>
      </c>
      <c r="B19" s="2" t="str">
        <f>IF(COUNTIF(List!D:D,C19)&lt;&gt;0,COUNTIF(List!D:D,C19),"")</f>
        <v/>
      </c>
      <c r="D19" s="1" t="str">
        <f t="shared" si="1"/>
        <v/>
      </c>
      <c r="E19" s="2" t="str">
        <f>IF(COUNTIF(List!E:E,F19)&lt;&gt;0,COUNTIF(List!E:E,F19),"")</f>
        <v/>
      </c>
      <c r="G19" s="1" t="str">
        <f t="shared" si="2"/>
        <v/>
      </c>
      <c r="H19" s="2" t="str">
        <f>IF(COUNTIF(List!F:F,I19)&lt;&gt;0,COUNTIF(List!F:F,I19),"")</f>
        <v/>
      </c>
      <c r="J19" s="1" t="str">
        <f t="shared" si="3"/>
        <v/>
      </c>
      <c r="K19" s="2" t="str">
        <f>IF(COUNTIF(List!G:G,L19)&lt;&gt;0,COUNTIF(List!G:G,L19),"")</f>
        <v/>
      </c>
      <c r="M19" s="1" t="str">
        <f t="shared" si="4"/>
        <v/>
      </c>
      <c r="N19" s="2" t="str">
        <f>IF(COUNTIF(List!H:H,O19)&lt;&gt;0,COUNTIF(List!H:H,O19),"")</f>
        <v/>
      </c>
      <c r="P19" s="1" t="str">
        <f t="shared" si="5"/>
        <v/>
      </c>
      <c r="Q19" s="2" t="str">
        <f>IF(COUNTIF(List!I:I,R19)&lt;&gt;0,COUNTIF(List!I:I,R19),"")</f>
        <v/>
      </c>
      <c r="S19" s="1" t="str">
        <f t="shared" si="6"/>
        <v/>
      </c>
      <c r="T19" s="2" t="str">
        <f>IF(COUNTIF(List!J:J,U19)&lt;&gt;0,COUNTIF(List!J:J,U19),"")</f>
        <v/>
      </c>
    </row>
    <row r="20" spans="1:25" ht="15" customHeight="1" x14ac:dyDescent="0.25">
      <c r="A20" s="1" t="str">
        <f t="shared" si="0"/>
        <v/>
      </c>
      <c r="B20" s="2" t="str">
        <f>IF(COUNTIF(List!D:D,C20)&lt;&gt;0,COUNTIF(List!D:D,C20),"")</f>
        <v/>
      </c>
      <c r="D20" s="1" t="str">
        <f t="shared" si="1"/>
        <v/>
      </c>
      <c r="E20" s="2" t="str">
        <f>IF(COUNTIF(List!E:E,F20)&lt;&gt;0,COUNTIF(List!E:E,F20),"")</f>
        <v/>
      </c>
      <c r="G20" s="1" t="str">
        <f t="shared" si="2"/>
        <v/>
      </c>
      <c r="H20" s="2" t="str">
        <f>IF(COUNTIF(List!F:F,I20)&lt;&gt;0,COUNTIF(List!F:F,I20),"")</f>
        <v/>
      </c>
      <c r="J20" s="1" t="str">
        <f t="shared" si="3"/>
        <v/>
      </c>
      <c r="K20" s="2" t="str">
        <f>IF(COUNTIF(List!G:G,L20)&lt;&gt;0,COUNTIF(List!G:G,L20),"")</f>
        <v/>
      </c>
      <c r="M20" s="1" t="str">
        <f t="shared" si="4"/>
        <v/>
      </c>
      <c r="N20" s="2" t="str">
        <f>IF(COUNTIF(List!H:H,O20)&lt;&gt;0,COUNTIF(List!H:H,O20),"")</f>
        <v/>
      </c>
      <c r="P20" s="1" t="str">
        <f t="shared" si="5"/>
        <v/>
      </c>
      <c r="Q20" s="2" t="str">
        <f>IF(COUNTIF(List!I:I,R20)&lt;&gt;0,COUNTIF(List!I:I,R20),"")</f>
        <v/>
      </c>
      <c r="S20" s="1" t="str">
        <f t="shared" si="6"/>
        <v/>
      </c>
      <c r="T20" s="2" t="str">
        <f>IF(COUNTIF(List!J:J,U20)&lt;&gt;0,COUNTIF(List!J:J,U20),"")</f>
        <v/>
      </c>
    </row>
    <row r="21" spans="1:25" ht="15" customHeight="1" x14ac:dyDescent="0.25">
      <c r="A21" s="1" t="str">
        <f t="shared" si="0"/>
        <v/>
      </c>
      <c r="B21" s="2" t="str">
        <f>IF(COUNTIF(List!D:D,C21)&lt;&gt;0,COUNTIF(List!D:D,C21),"")</f>
        <v/>
      </c>
      <c r="D21" s="1" t="str">
        <f t="shared" si="1"/>
        <v/>
      </c>
      <c r="E21" s="2" t="str">
        <f>IF(COUNTIF(List!E:E,F21)&lt;&gt;0,COUNTIF(List!E:E,F21),"")</f>
        <v/>
      </c>
      <c r="G21" s="1" t="str">
        <f t="shared" si="2"/>
        <v/>
      </c>
      <c r="H21" s="2" t="str">
        <f>IF(COUNTIF(List!F:F,I21)&lt;&gt;0,COUNTIF(List!F:F,I21),"")</f>
        <v/>
      </c>
      <c r="J21" s="1" t="str">
        <f t="shared" si="3"/>
        <v/>
      </c>
      <c r="K21" s="2" t="str">
        <f>IF(COUNTIF(List!G:G,L21)&lt;&gt;0,COUNTIF(List!G:G,L21),"")</f>
        <v/>
      </c>
      <c r="M21" s="1" t="str">
        <f t="shared" si="4"/>
        <v/>
      </c>
      <c r="N21" s="2" t="str">
        <f>IF(COUNTIF(List!H:H,O21)&lt;&gt;0,COUNTIF(List!H:H,O21),"")</f>
        <v/>
      </c>
      <c r="P21" s="1" t="str">
        <f t="shared" si="5"/>
        <v/>
      </c>
      <c r="Q21" s="2" t="str">
        <f>IF(COUNTIF(List!I:I,R21)&lt;&gt;0,COUNTIF(List!I:I,R21),"")</f>
        <v/>
      </c>
      <c r="S21" s="1" t="str">
        <f t="shared" si="6"/>
        <v/>
      </c>
      <c r="T21" s="2" t="str">
        <f>IF(COUNTIF(List!J:J,U21)&lt;&gt;0,COUNTIF(List!J:J,U21),"")</f>
        <v/>
      </c>
    </row>
    <row r="22" spans="1:25" ht="15" customHeight="1" x14ac:dyDescent="0.25">
      <c r="A22" s="1" t="str">
        <f t="shared" si="0"/>
        <v/>
      </c>
      <c r="B22" s="2" t="str">
        <f>IF(COUNTIF(List!D:D,C22)&lt;&gt;0,COUNTIF(List!D:D,C22),"")</f>
        <v/>
      </c>
      <c r="D22" s="1" t="str">
        <f t="shared" si="1"/>
        <v/>
      </c>
      <c r="E22" s="2" t="str">
        <f>IF(COUNTIF(List!E:E,F22)&lt;&gt;0,COUNTIF(List!E:E,F22),"")</f>
        <v/>
      </c>
      <c r="G22" s="1" t="str">
        <f t="shared" si="2"/>
        <v/>
      </c>
      <c r="H22" s="2" t="str">
        <f>IF(COUNTIF(List!F:F,I22)&lt;&gt;0,COUNTIF(List!F:F,I22),"")</f>
        <v/>
      </c>
      <c r="J22" s="1" t="str">
        <f t="shared" si="3"/>
        <v/>
      </c>
      <c r="K22" s="2" t="str">
        <f>IF(COUNTIF(List!G:G,L22)&lt;&gt;0,COUNTIF(List!G:G,L22),"")</f>
        <v/>
      </c>
      <c r="M22" s="1" t="str">
        <f t="shared" si="4"/>
        <v/>
      </c>
      <c r="N22" s="2" t="str">
        <f>IF(COUNTIF(List!H:H,O22)&lt;&gt;0,COUNTIF(List!H:H,O22),"")</f>
        <v/>
      </c>
      <c r="P22" s="1" t="str">
        <f t="shared" si="5"/>
        <v/>
      </c>
      <c r="Q22" s="2" t="str">
        <f>IF(COUNTIF(List!I:I,R22)&lt;&gt;0,COUNTIF(List!I:I,R22),"")</f>
        <v/>
      </c>
      <c r="S22" s="1" t="str">
        <f t="shared" si="6"/>
        <v/>
      </c>
      <c r="T22" s="2" t="str">
        <f>IF(COUNTIF(List!J:J,U22)&lt;&gt;0,COUNTIF(List!J:J,U22),"")</f>
        <v/>
      </c>
    </row>
    <row r="23" spans="1:25" ht="15" customHeight="1" x14ac:dyDescent="0.25">
      <c r="A23" s="1" t="str">
        <f t="shared" si="0"/>
        <v/>
      </c>
      <c r="B23" s="2" t="str">
        <f>IF(COUNTIF(List!D:D,C23)&lt;&gt;0,COUNTIF(List!D:D,C23),"")</f>
        <v/>
      </c>
      <c r="D23" s="1" t="str">
        <f t="shared" si="1"/>
        <v/>
      </c>
      <c r="E23" s="2" t="str">
        <f>IF(COUNTIF(List!E:E,F23)&lt;&gt;0,COUNTIF(List!E:E,F23),"")</f>
        <v/>
      </c>
      <c r="G23" s="1" t="str">
        <f t="shared" si="2"/>
        <v/>
      </c>
      <c r="H23" s="2" t="str">
        <f>IF(COUNTIF(List!F:F,I23)&lt;&gt;0,COUNTIF(List!F:F,I23),"")</f>
        <v/>
      </c>
      <c r="J23" s="1" t="str">
        <f t="shared" si="3"/>
        <v/>
      </c>
      <c r="K23" s="2" t="str">
        <f>IF(COUNTIF(List!G:G,L23)&lt;&gt;0,COUNTIF(List!G:G,L23),"")</f>
        <v/>
      </c>
      <c r="M23" s="1" t="str">
        <f t="shared" si="4"/>
        <v/>
      </c>
      <c r="N23" s="2" t="str">
        <f>IF(COUNTIF(List!H:H,O23)&lt;&gt;0,COUNTIF(List!H:H,O23),"")</f>
        <v/>
      </c>
      <c r="P23" s="1" t="str">
        <f t="shared" si="5"/>
        <v/>
      </c>
      <c r="Q23" s="2" t="str">
        <f>IF(COUNTIF(List!I:I,R23)&lt;&gt;0,COUNTIF(List!I:I,R23),"")</f>
        <v/>
      </c>
      <c r="S23" s="1" t="str">
        <f t="shared" si="6"/>
        <v/>
      </c>
      <c r="T23" s="2" t="str">
        <f>IF(COUNTIF(List!J:J,U23)&lt;&gt;0,COUNTIF(List!J:J,U23),"")</f>
        <v/>
      </c>
    </row>
    <row r="24" spans="1:25" ht="15" customHeight="1" x14ac:dyDescent="0.25">
      <c r="A24" s="1" t="str">
        <f t="shared" si="0"/>
        <v/>
      </c>
      <c r="B24" s="2" t="str">
        <f>IF(COUNTIF(List!D:D,C24)&lt;&gt;0,COUNTIF(List!D:D,C24),"")</f>
        <v/>
      </c>
      <c r="D24" s="1" t="str">
        <f t="shared" si="1"/>
        <v/>
      </c>
      <c r="E24" s="2" t="str">
        <f>IF(COUNTIF(List!E:E,F24)&lt;&gt;0,COUNTIF(List!E:E,F24),"")</f>
        <v/>
      </c>
      <c r="G24" s="1" t="str">
        <f t="shared" si="2"/>
        <v/>
      </c>
      <c r="H24" s="2" t="str">
        <f>IF(COUNTIF(List!F:F,I24)&lt;&gt;0,COUNTIF(List!F:F,I24),"")</f>
        <v/>
      </c>
      <c r="J24" s="1" t="str">
        <f t="shared" si="3"/>
        <v/>
      </c>
      <c r="K24" s="2" t="str">
        <f>IF(COUNTIF(List!G:G,L24)&lt;&gt;0,COUNTIF(List!G:G,L24),"")</f>
        <v/>
      </c>
      <c r="M24" s="1" t="str">
        <f t="shared" si="4"/>
        <v/>
      </c>
      <c r="N24" s="2" t="str">
        <f>IF(COUNTIF(List!H:H,O24)&lt;&gt;0,COUNTIF(List!H:H,O24),"")</f>
        <v/>
      </c>
      <c r="P24" s="1" t="str">
        <f t="shared" si="5"/>
        <v/>
      </c>
      <c r="Q24" s="2" t="str">
        <f>IF(COUNTIF(List!I:I,R24)&lt;&gt;0,COUNTIF(List!I:I,R24),"")</f>
        <v/>
      </c>
      <c r="S24" s="1" t="str">
        <f t="shared" si="6"/>
        <v/>
      </c>
      <c r="T24" s="2" t="str">
        <f>IF(COUNTIF(List!J:J,U24)&lt;&gt;0,COUNTIF(List!J:J,U24),"")</f>
        <v/>
      </c>
    </row>
    <row r="25" spans="1:25" ht="15" customHeight="1" x14ac:dyDescent="0.25">
      <c r="A25" s="1" t="str">
        <f t="shared" si="0"/>
        <v/>
      </c>
      <c r="B25" s="2" t="str">
        <f>IF(COUNTIF(List!D:D,C25)&lt;&gt;0,COUNTIF(List!D:D,C25),"")</f>
        <v/>
      </c>
      <c r="D25" s="1" t="str">
        <f t="shared" si="1"/>
        <v/>
      </c>
      <c r="E25" s="2" t="str">
        <f>IF(COUNTIF(List!E:E,F25)&lt;&gt;0,COUNTIF(List!E:E,F25),"")</f>
        <v/>
      </c>
      <c r="G25" s="1" t="str">
        <f t="shared" si="2"/>
        <v/>
      </c>
      <c r="H25" s="2" t="str">
        <f>IF(COUNTIF(List!F:F,I25)&lt;&gt;0,COUNTIF(List!F:F,I25),"")</f>
        <v/>
      </c>
      <c r="J25" s="1" t="str">
        <f t="shared" si="3"/>
        <v/>
      </c>
      <c r="K25" s="2" t="str">
        <f>IF(COUNTIF(List!G:G,L25)&lt;&gt;0,COUNTIF(List!G:G,L25),"")</f>
        <v/>
      </c>
      <c r="M25" s="1" t="str">
        <f t="shared" si="4"/>
        <v/>
      </c>
      <c r="N25" s="2" t="str">
        <f>IF(COUNTIF(List!H:H,O25)&lt;&gt;0,COUNTIF(List!H:H,O25),"")</f>
        <v/>
      </c>
      <c r="P25" s="1" t="str">
        <f t="shared" si="5"/>
        <v/>
      </c>
      <c r="Q25" s="2" t="str">
        <f>IF(COUNTIF(List!I:I,R25)&lt;&gt;0,COUNTIF(List!I:I,R25),"")</f>
        <v/>
      </c>
      <c r="S25" s="1" t="str">
        <f t="shared" si="6"/>
        <v/>
      </c>
      <c r="T25" s="2" t="str">
        <f>IF(COUNTIF(List!J:J,U25)&lt;&gt;0,COUNTIF(List!J:J,U25),"")</f>
        <v/>
      </c>
    </row>
    <row r="26" spans="1:25" ht="15" customHeight="1" x14ac:dyDescent="0.25">
      <c r="A26" s="1" t="str">
        <f t="shared" si="0"/>
        <v/>
      </c>
      <c r="B26" s="2" t="str">
        <f>IF(COUNTIF(List!D:D,C26)&lt;&gt;0,COUNTIF(List!D:D,C26),"")</f>
        <v/>
      </c>
      <c r="D26" s="1" t="str">
        <f t="shared" si="1"/>
        <v/>
      </c>
      <c r="E26" s="2" t="str">
        <f>IF(COUNTIF(List!E:E,F26)&lt;&gt;0,COUNTIF(List!E:E,F26),"")</f>
        <v/>
      </c>
      <c r="G26" s="1" t="str">
        <f t="shared" si="2"/>
        <v/>
      </c>
      <c r="H26" s="2" t="str">
        <f>IF(COUNTIF(List!F:F,I26)&lt;&gt;0,COUNTIF(List!F:F,I26),"")</f>
        <v/>
      </c>
      <c r="J26" s="1" t="str">
        <f t="shared" si="3"/>
        <v/>
      </c>
      <c r="K26" s="2" t="str">
        <f>IF(COUNTIF(List!G:G,L26)&lt;&gt;0,COUNTIF(List!G:G,L26),"")</f>
        <v/>
      </c>
      <c r="M26" s="1" t="str">
        <f t="shared" si="4"/>
        <v/>
      </c>
      <c r="N26" s="2" t="str">
        <f>IF(COUNTIF(List!H:H,O26)&lt;&gt;0,COUNTIF(List!H:H,O26),"")</f>
        <v/>
      </c>
      <c r="P26" s="1" t="str">
        <f t="shared" si="5"/>
        <v/>
      </c>
      <c r="Q26" s="2" t="str">
        <f>IF(COUNTIF(List!I:I,R26)&lt;&gt;0,COUNTIF(List!I:I,R26),"")</f>
        <v/>
      </c>
      <c r="S26" s="1" t="str">
        <f t="shared" si="6"/>
        <v/>
      </c>
      <c r="T26" s="2" t="str">
        <f>IF(COUNTIF(List!J:J,U26)&lt;&gt;0,COUNTIF(List!J:J,U26),"")</f>
        <v/>
      </c>
    </row>
    <row r="27" spans="1:25" ht="15" customHeight="1" x14ac:dyDescent="0.25">
      <c r="A27" s="1" t="str">
        <f t="shared" si="0"/>
        <v/>
      </c>
      <c r="B27" s="2" t="str">
        <f>IF(COUNTIF(List!D:D,C27)&lt;&gt;0,COUNTIF(List!D:D,C27),"")</f>
        <v/>
      </c>
      <c r="D27" s="1" t="str">
        <f t="shared" si="1"/>
        <v/>
      </c>
      <c r="E27" s="2" t="str">
        <f>IF(COUNTIF(List!E:E,F27)&lt;&gt;0,COUNTIF(List!E:E,F27),"")</f>
        <v/>
      </c>
      <c r="G27" s="1" t="str">
        <f t="shared" si="2"/>
        <v/>
      </c>
      <c r="H27" s="2" t="str">
        <f>IF(COUNTIF(List!F:F,I27)&lt;&gt;0,COUNTIF(List!F:F,I27),"")</f>
        <v/>
      </c>
      <c r="J27" s="1" t="str">
        <f t="shared" si="3"/>
        <v/>
      </c>
      <c r="K27" s="2" t="str">
        <f>IF(COUNTIF(List!G:G,L27)&lt;&gt;0,COUNTIF(List!G:G,L27),"")</f>
        <v/>
      </c>
      <c r="M27" s="1" t="str">
        <f t="shared" si="4"/>
        <v/>
      </c>
      <c r="N27" s="2" t="str">
        <f>IF(COUNTIF(List!H:H,O27)&lt;&gt;0,COUNTIF(List!H:H,O27),"")</f>
        <v/>
      </c>
      <c r="P27" s="1" t="str">
        <f t="shared" si="5"/>
        <v/>
      </c>
      <c r="Q27" s="2" t="str">
        <f>IF(COUNTIF(List!I:I,R27)&lt;&gt;0,COUNTIF(List!I:I,R27),"")</f>
        <v/>
      </c>
      <c r="S27" s="1" t="str">
        <f t="shared" si="6"/>
        <v/>
      </c>
      <c r="T27" s="2" t="str">
        <f>IF(COUNTIF(List!J:J,U27)&lt;&gt;0,COUNTIF(List!J:J,U27),"")</f>
        <v/>
      </c>
    </row>
    <row r="28" spans="1:25" ht="15" customHeight="1" x14ac:dyDescent="0.25">
      <c r="A28" s="1" t="str">
        <f t="shared" si="0"/>
        <v/>
      </c>
      <c r="B28" s="2" t="str">
        <f>IF(COUNTIF(List!D:D,C28)&lt;&gt;0,COUNTIF(List!D:D,C28),"")</f>
        <v/>
      </c>
      <c r="C28" s="28"/>
      <c r="D28" s="1" t="str">
        <f t="shared" si="1"/>
        <v/>
      </c>
      <c r="E28" s="2" t="str">
        <f>IF(COUNTIF(List!E:E,F28)&lt;&gt;0,COUNTIF(List!E:E,F28),"")</f>
        <v/>
      </c>
      <c r="F28" s="28"/>
      <c r="G28" s="1" t="str">
        <f t="shared" si="2"/>
        <v/>
      </c>
      <c r="H28" s="2" t="str">
        <f>IF(COUNTIF(List!F:F,I28)&lt;&gt;0,COUNTIF(List!F:F,I28),"")</f>
        <v/>
      </c>
      <c r="I28" s="28"/>
      <c r="J28" s="1" t="str">
        <f t="shared" si="3"/>
        <v/>
      </c>
      <c r="K28" s="2" t="str">
        <f>IF(COUNTIF(List!G:G,L28)&lt;&gt;0,COUNTIF(List!G:G,L28),"")</f>
        <v/>
      </c>
      <c r="L28" s="28"/>
      <c r="M28" s="1" t="str">
        <f t="shared" si="4"/>
        <v/>
      </c>
      <c r="N28" s="2" t="str">
        <f>IF(COUNTIF(List!H:H,O28)&lt;&gt;0,COUNTIF(List!H:H,O28),"")</f>
        <v/>
      </c>
      <c r="O28" s="28"/>
      <c r="P28" s="1" t="str">
        <f t="shared" si="5"/>
        <v/>
      </c>
      <c r="Q28" s="2" t="str">
        <f>IF(COUNTIF(List!I:I,R28)&lt;&gt;0,COUNTIF(List!I:I,R28),"")</f>
        <v/>
      </c>
      <c r="R28" s="28"/>
      <c r="S28" s="1" t="str">
        <f t="shared" si="6"/>
        <v/>
      </c>
      <c r="T28" s="2" t="str">
        <f>IF(COUNTIF(List!J:J,U28)&lt;&gt;0,COUNTIF(List!J:J,U28),"")</f>
        <v/>
      </c>
      <c r="U28" s="28"/>
    </row>
    <row r="29" spans="1:25" ht="15" customHeight="1" x14ac:dyDescent="0.25">
      <c r="A29" s="1" t="str">
        <f t="shared" si="0"/>
        <v/>
      </c>
      <c r="B29" s="2" t="str">
        <f>IF(COUNTIF(List!D:D,C29)&lt;&gt;0,COUNTIF(List!D:D,C29),"")</f>
        <v/>
      </c>
      <c r="D29" s="1" t="str">
        <f t="shared" si="1"/>
        <v/>
      </c>
      <c r="E29" s="2" t="str">
        <f>IF(COUNTIF(List!E:E,F29)&lt;&gt;0,COUNTIF(List!E:E,F29),"")</f>
        <v/>
      </c>
      <c r="G29" s="1" t="str">
        <f t="shared" si="2"/>
        <v/>
      </c>
      <c r="H29" s="2" t="str">
        <f>IF(COUNTIF(List!F:F,I29)&lt;&gt;0,COUNTIF(List!F:F,I29),"")</f>
        <v/>
      </c>
      <c r="J29" s="1" t="str">
        <f t="shared" si="3"/>
        <v/>
      </c>
      <c r="K29" s="2" t="str">
        <f>IF(COUNTIF(List!G:G,L29)&lt;&gt;0,COUNTIF(List!G:G,L29),"")</f>
        <v/>
      </c>
      <c r="M29" s="1" t="str">
        <f t="shared" si="4"/>
        <v/>
      </c>
      <c r="N29" s="2" t="str">
        <f>IF(COUNTIF(List!H:H,O29)&lt;&gt;0,COUNTIF(List!H:H,O29),"")</f>
        <v/>
      </c>
      <c r="P29" s="1" t="str">
        <f t="shared" si="5"/>
        <v/>
      </c>
      <c r="Q29" s="2" t="str">
        <f>IF(COUNTIF(List!I:I,R29)&lt;&gt;0,COUNTIF(List!I:I,R29),"")</f>
        <v/>
      </c>
      <c r="S29" s="1" t="str">
        <f t="shared" si="6"/>
        <v/>
      </c>
      <c r="T29" s="2" t="str">
        <f>IF(COUNTIF(List!J:J,U29)&lt;&gt;0,COUNTIF(List!J:J,U29),"")</f>
        <v/>
      </c>
    </row>
    <row r="30" spans="1:25" ht="15" customHeight="1" x14ac:dyDescent="0.25">
      <c r="A30" s="1" t="str">
        <f t="shared" si="0"/>
        <v/>
      </c>
      <c r="B30" s="2" t="str">
        <f>IF(COUNTIF(List!D:D,C30)&lt;&gt;0,COUNTIF(List!D:D,C30),"")</f>
        <v/>
      </c>
      <c r="D30" s="1" t="str">
        <f t="shared" si="1"/>
        <v/>
      </c>
      <c r="E30" s="2" t="str">
        <f>IF(COUNTIF(List!E:E,F30)&lt;&gt;0,COUNTIF(List!E:E,F30),"")</f>
        <v/>
      </c>
      <c r="G30" s="1" t="str">
        <f t="shared" si="2"/>
        <v/>
      </c>
      <c r="H30" s="2" t="str">
        <f>IF(COUNTIF(List!F:F,I30)&lt;&gt;0,COUNTIF(List!F:F,I30),"")</f>
        <v/>
      </c>
      <c r="J30" s="1" t="str">
        <f t="shared" si="3"/>
        <v/>
      </c>
      <c r="K30" s="2" t="str">
        <f>IF(COUNTIF(List!G:G,L30)&lt;&gt;0,COUNTIF(List!G:G,L30),"")</f>
        <v/>
      </c>
      <c r="M30" s="1" t="str">
        <f t="shared" si="4"/>
        <v/>
      </c>
      <c r="N30" s="2" t="str">
        <f>IF(COUNTIF(List!H:H,O30)&lt;&gt;0,COUNTIF(List!H:H,O30),"")</f>
        <v/>
      </c>
      <c r="P30" s="1" t="str">
        <f t="shared" si="5"/>
        <v/>
      </c>
      <c r="Q30" s="2" t="str">
        <f>IF(COUNTIF(List!I:I,R30)&lt;&gt;0,COUNTIF(List!I:I,R30),"")</f>
        <v/>
      </c>
      <c r="S30" s="1" t="str">
        <f t="shared" si="6"/>
        <v/>
      </c>
      <c r="T30" s="2" t="str">
        <f>IF(COUNTIF(List!J:J,U30)&lt;&gt;0,COUNTIF(List!J:J,U30),"")</f>
        <v/>
      </c>
    </row>
    <row r="31" spans="1:25" ht="15" customHeight="1" x14ac:dyDescent="0.25">
      <c r="A31" s="37" t="s">
        <v>80</v>
      </c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5" t="s">
        <v>81</v>
      </c>
      <c r="X31" s="32" t="s">
        <v>78</v>
      </c>
      <c r="Y31" s="2" t="s">
        <v>77</v>
      </c>
    </row>
    <row r="32" spans="1:25" ht="15" customHeight="1" x14ac:dyDescent="0.25">
      <c r="A32" s="1">
        <f>SUM(A2:A30)</f>
        <v>38.333333333333336</v>
      </c>
      <c r="B32" s="1"/>
      <c r="D32" s="1">
        <f>SUM(D2:D30)</f>
        <v>11.428571428571429</v>
      </c>
      <c r="E32" s="1"/>
      <c r="G32" s="1">
        <f>SUM(G2:G30)</f>
        <v>5.3333333333333339</v>
      </c>
      <c r="H32" s="1"/>
      <c r="J32" s="1">
        <f>SUM(J2:J30)</f>
        <v>53.333333333333336</v>
      </c>
      <c r="K32" s="1"/>
      <c r="M32" s="1">
        <f>SUM(M2:M30)</f>
        <v>65</v>
      </c>
      <c r="N32" s="1"/>
      <c r="P32" s="1">
        <f>SUM(P2:P30)</f>
        <v>80</v>
      </c>
      <c r="Q32" s="1"/>
      <c r="S32" s="1">
        <f>SUM(S2:S30)</f>
        <v>1.25</v>
      </c>
      <c r="T32" s="1"/>
      <c r="V32" s="1">
        <f>SUM(A32:U32)</f>
        <v>254.67857142857144</v>
      </c>
      <c r="X32" s="34">
        <f>(SUM(T2:T30)/Y32)</f>
        <v>0.08</v>
      </c>
      <c r="Y32" s="2">
        <v>100</v>
      </c>
    </row>
    <row r="33" spans="1:23" ht="15" customHeight="1" x14ac:dyDescent="0.25">
      <c r="A33" s="36" t="s">
        <v>79</v>
      </c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</row>
    <row r="34" spans="1:23" ht="15" customHeight="1" x14ac:dyDescent="0.25">
      <c r="A34" s="33">
        <f>A32/$V$32</f>
        <v>0.15051652409666713</v>
      </c>
      <c r="B34" s="1"/>
      <c r="C34" s="1" t="str">
        <f>C1</f>
        <v>Color</v>
      </c>
      <c r="D34" s="33">
        <f>D32/$V$32</f>
        <v>4.4874491656149207E-2</v>
      </c>
      <c r="E34" s="1"/>
      <c r="F34" s="1" t="str">
        <f>F1</f>
        <v>Form</v>
      </c>
      <c r="G34" s="33">
        <f>G32/$V$32</f>
        <v>2.0941429439536297E-2</v>
      </c>
      <c r="H34" s="1"/>
      <c r="I34" s="1" t="str">
        <f>I1</f>
        <v>Style</v>
      </c>
      <c r="J34" s="33">
        <f>J32/$V$32</f>
        <v>0.20941429439536297</v>
      </c>
      <c r="K34" s="1"/>
      <c r="L34" s="1" t="str">
        <f>L1</f>
        <v>Action</v>
      </c>
      <c r="M34" s="33">
        <f>M32/$V$32</f>
        <v>0.25522367129434859</v>
      </c>
      <c r="N34" s="1"/>
      <c r="O34" s="1" t="str">
        <f>O1</f>
        <v>Emotion</v>
      </c>
      <c r="P34" s="33">
        <f>P32/$V$32</f>
        <v>0.31412144159304445</v>
      </c>
      <c r="Q34" s="1"/>
      <c r="R34" s="1" t="str">
        <f>R1</f>
        <v>Adornment</v>
      </c>
      <c r="S34" s="33">
        <f>S32/$V$32</f>
        <v>4.9081475248913195E-3</v>
      </c>
      <c r="T34" s="1"/>
      <c r="U34" s="1" t="str">
        <f>U1</f>
        <v>Gear</v>
      </c>
    </row>
    <row r="35" spans="1:23" ht="15" customHeight="1" x14ac:dyDescent="0.25">
      <c r="B35" s="1"/>
      <c r="E35" s="1"/>
      <c r="H35" s="1"/>
      <c r="K35" s="1"/>
      <c r="N35" s="1"/>
      <c r="Q35" s="1"/>
      <c r="T35" s="1"/>
    </row>
    <row r="36" spans="1:23" ht="15" customHeight="1" x14ac:dyDescent="0.25">
      <c r="A36" s="43">
        <f>COUNTIF(A3:A31, "&gt;=10")</f>
        <v>3</v>
      </c>
      <c r="B36" s="43"/>
      <c r="C36" s="43"/>
      <c r="D36" s="43">
        <f>COUNTIF(D3:D31, "&gt;=10")</f>
        <v>1</v>
      </c>
      <c r="E36" s="43"/>
      <c r="F36" s="43"/>
      <c r="G36" s="43">
        <f>COUNTIF(G3:G31, "&gt;=10")</f>
        <v>0</v>
      </c>
      <c r="H36" s="43"/>
      <c r="I36" s="43"/>
      <c r="J36" s="43">
        <f>COUNTIF(J3:J31, "&gt;=10")</f>
        <v>4</v>
      </c>
      <c r="K36" s="43"/>
      <c r="L36" s="43"/>
      <c r="M36" s="43">
        <f>COUNTIF(M3:M31, "&gt;=10")</f>
        <v>5</v>
      </c>
      <c r="N36" s="43"/>
      <c r="O36" s="43"/>
      <c r="P36" s="43">
        <f>COUNTIF(P3:P31, "&gt;=10")</f>
        <v>7</v>
      </c>
      <c r="Q36" s="43"/>
      <c r="R36" s="43"/>
      <c r="S36" s="43">
        <f>COUNTIF(S3:S31, "&gt;=10")</f>
        <v>0</v>
      </c>
      <c r="T36" s="43"/>
      <c r="U36" s="43"/>
      <c r="V36" s="43"/>
      <c r="W36" s="43" t="s">
        <v>83</v>
      </c>
    </row>
    <row r="37" spans="1:23" ht="15" customHeight="1" x14ac:dyDescent="0.25">
      <c r="A37" s="48">
        <f>COUNTIFS(A2:A30, "&gt;=9.5", A2:A30, "&lt;10")</f>
        <v>0</v>
      </c>
      <c r="B37" s="48"/>
      <c r="C37" s="48"/>
      <c r="D37" s="48">
        <f>COUNTIFS(D2:D30, "&gt;=9.5", D2:D30, "&lt;10")</f>
        <v>0</v>
      </c>
      <c r="E37" s="48"/>
      <c r="F37" s="48"/>
      <c r="G37" s="48">
        <f>COUNTIFS(G2:G30, "&gt;=9.5", G2:G30, "&lt;10")</f>
        <v>0</v>
      </c>
      <c r="H37" s="48"/>
      <c r="I37" s="48"/>
      <c r="J37" s="48">
        <f>COUNTIFS(J2:J30, "&gt;=9.5", J2:J30, "&lt;10")</f>
        <v>0</v>
      </c>
      <c r="K37" s="48"/>
      <c r="L37" s="48"/>
      <c r="M37" s="48">
        <f>COUNTIFS(M2:M30, "&gt;=9.5", M2:M30, "&lt;10")</f>
        <v>0</v>
      </c>
      <c r="N37" s="48"/>
      <c r="O37" s="48"/>
      <c r="P37" s="48">
        <f>COUNTIFS(P2:P30, "&gt;=9.5", P2:P30, "&lt;10")</f>
        <v>0</v>
      </c>
      <c r="Q37" s="48"/>
      <c r="R37" s="48"/>
      <c r="S37" s="48">
        <f>COUNTIFS(S2:S30, "&gt;=9.5", S2:S30, "&lt;10")</f>
        <v>0</v>
      </c>
      <c r="T37" s="48"/>
      <c r="U37" s="48"/>
      <c r="V37" s="48"/>
      <c r="W37" s="44" t="s">
        <v>71</v>
      </c>
    </row>
    <row r="38" spans="1:23" ht="15" customHeight="1" x14ac:dyDescent="0.25">
      <c r="A38" s="49">
        <f>COUNTIFS(A2:A30, "&gt;=7.5", A2:A30, "&lt;9.5")</f>
        <v>0</v>
      </c>
      <c r="B38" s="49"/>
      <c r="C38" s="49"/>
      <c r="D38" s="49">
        <f>COUNTIFS(D2:D30, "&gt;=7.5", D2:D30, "&lt;9.5")</f>
        <v>0</v>
      </c>
      <c r="E38" s="49"/>
      <c r="F38" s="49"/>
      <c r="G38" s="49">
        <f>COUNTIFS(G2:G30, "&gt;=7.5", G2:G30, "&lt;9.5")</f>
        <v>0</v>
      </c>
      <c r="H38" s="49"/>
      <c r="I38" s="49"/>
      <c r="J38" s="49">
        <f>COUNTIFS(J2:J30, "&gt;=7.5", J2:J30, "&lt;9.5")</f>
        <v>0</v>
      </c>
      <c r="K38" s="49"/>
      <c r="L38" s="49"/>
      <c r="M38" s="49">
        <f>COUNTIFS(M2:M30, "&gt;=7.5", M2:M30, "&lt;9.5")</f>
        <v>0</v>
      </c>
      <c r="N38" s="49"/>
      <c r="O38" s="49"/>
      <c r="P38" s="49">
        <f>COUNTIFS(P2:P30, "&gt;=7.5", P2:P30, "&lt;9.5")</f>
        <v>0</v>
      </c>
      <c r="Q38" s="49"/>
      <c r="R38" s="49"/>
      <c r="S38" s="49">
        <f>COUNTIFS(S2:S30, "&gt;=7.5", S2:S30, "&lt;9.5")</f>
        <v>0</v>
      </c>
      <c r="T38" s="49"/>
      <c r="U38" s="49"/>
      <c r="V38" s="49"/>
      <c r="W38" s="45" t="s">
        <v>84</v>
      </c>
    </row>
    <row r="39" spans="1:23" ht="15" customHeight="1" x14ac:dyDescent="0.25">
      <c r="A39" s="50">
        <f>COUNTIF(A2:A30, "&lt;7.5")</f>
        <v>2</v>
      </c>
      <c r="B39" s="50"/>
      <c r="C39" s="50"/>
      <c r="D39" s="50">
        <f>COUNTIF(D2:D30, "&lt;7.5")</f>
        <v>1</v>
      </c>
      <c r="E39" s="50"/>
      <c r="F39" s="50"/>
      <c r="G39" s="50">
        <f>COUNTIF(G2:G30, "&lt;7.5")</f>
        <v>2</v>
      </c>
      <c r="H39" s="50"/>
      <c r="I39" s="50"/>
      <c r="J39" s="50">
        <f>COUNTIF(J2:J30, "&lt;7.5")</f>
        <v>1</v>
      </c>
      <c r="K39" s="50"/>
      <c r="L39" s="50"/>
      <c r="M39" s="50">
        <f>COUNTIF(M2:M30, "&lt;7.5")</f>
        <v>1</v>
      </c>
      <c r="N39" s="50"/>
      <c r="O39" s="50"/>
      <c r="P39" s="50">
        <f>COUNTIF(P2:P30, "&lt;7.5")</f>
        <v>0</v>
      </c>
      <c r="Q39" s="50"/>
      <c r="R39" s="50"/>
      <c r="S39" s="50">
        <f>COUNTIF(S2:S30, "&lt;7.5")</f>
        <v>1</v>
      </c>
      <c r="T39" s="50"/>
      <c r="U39" s="50"/>
      <c r="V39" s="50"/>
      <c r="W39" s="46" t="s">
        <v>87</v>
      </c>
    </row>
    <row r="40" spans="1:23" ht="15" customHeight="1" x14ac:dyDescent="0.25">
      <c r="B40" s="1"/>
      <c r="E40" s="1"/>
      <c r="H40" s="1"/>
      <c r="K40" s="1"/>
      <c r="N40" s="1"/>
      <c r="Q40" s="1"/>
      <c r="T40" s="1"/>
    </row>
    <row r="41" spans="1:23" ht="15" customHeight="1" x14ac:dyDescent="0.25">
      <c r="B41" s="1"/>
      <c r="E41" s="1"/>
      <c r="H41" s="1"/>
      <c r="K41" s="1"/>
      <c r="N41" s="1"/>
      <c r="Q41" s="1"/>
      <c r="T41" s="1"/>
    </row>
    <row r="42" spans="1:23" ht="15" customHeight="1" x14ac:dyDescent="0.25">
      <c r="B42" s="1"/>
      <c r="E42" s="1"/>
      <c r="H42" s="1"/>
      <c r="K42" s="1"/>
      <c r="N42" s="1"/>
      <c r="Q42" s="1"/>
      <c r="T42" s="1"/>
    </row>
    <row r="43" spans="1:23" ht="15" customHeight="1" x14ac:dyDescent="0.25">
      <c r="B43" s="1"/>
      <c r="E43" s="1"/>
      <c r="H43" s="1"/>
      <c r="K43" s="1"/>
      <c r="N43" s="1"/>
      <c r="Q43" s="1"/>
      <c r="T43" s="1"/>
    </row>
    <row r="44" spans="1:23" ht="15" customHeight="1" x14ac:dyDescent="0.25">
      <c r="B44" s="1"/>
      <c r="E44" s="1"/>
      <c r="H44" s="1"/>
      <c r="K44" s="1"/>
      <c r="N44" s="1"/>
      <c r="Q44" s="1"/>
      <c r="T44" s="1"/>
    </row>
    <row r="45" spans="1:23" ht="15" customHeight="1" x14ac:dyDescent="0.25">
      <c r="B45" s="1"/>
      <c r="E45" s="1"/>
      <c r="H45" s="1"/>
      <c r="K45" s="1"/>
      <c r="N45" s="1"/>
      <c r="Q45" s="1"/>
      <c r="T45" s="1"/>
    </row>
    <row r="46" spans="1:23" ht="15" customHeight="1" x14ac:dyDescent="0.25">
      <c r="B46" s="1"/>
      <c r="E46" s="1"/>
      <c r="H46" s="1"/>
      <c r="K46" s="1"/>
      <c r="N46" s="1"/>
      <c r="Q46" s="1"/>
      <c r="T46" s="1"/>
    </row>
    <row r="47" spans="1:23" ht="15" customHeight="1" x14ac:dyDescent="0.25">
      <c r="B47" s="1"/>
      <c r="E47" s="1"/>
      <c r="H47" s="1"/>
      <c r="K47" s="1"/>
      <c r="N47" s="1"/>
      <c r="Q47" s="1"/>
      <c r="T47" s="1"/>
    </row>
    <row r="48" spans="1:23" ht="15" customHeight="1" x14ac:dyDescent="0.25">
      <c r="B48" s="1"/>
      <c r="E48" s="1"/>
      <c r="H48" s="1"/>
      <c r="K48" s="1"/>
      <c r="N48" s="1"/>
      <c r="Q48" s="1"/>
      <c r="T48" s="1"/>
    </row>
    <row r="49" s="1" customFormat="1" ht="15" customHeight="1" x14ac:dyDescent="0.25"/>
    <row r="50" s="1" customFormat="1" ht="15" customHeight="1" x14ac:dyDescent="0.25"/>
    <row r="51" s="1" customFormat="1" ht="15" customHeight="1" x14ac:dyDescent="0.25"/>
    <row r="52" s="1" customFormat="1" ht="15" customHeight="1" x14ac:dyDescent="0.25"/>
    <row r="53" s="1" customFormat="1" ht="15" customHeight="1" x14ac:dyDescent="0.25"/>
    <row r="54" s="1" customFormat="1" ht="15" customHeight="1" x14ac:dyDescent="0.25"/>
    <row r="55" s="1" customFormat="1" ht="15" customHeight="1" x14ac:dyDescent="0.25"/>
    <row r="56" s="1" customFormat="1" ht="15" customHeight="1" x14ac:dyDescent="0.25"/>
    <row r="57" s="1" customFormat="1" ht="15" customHeight="1" x14ac:dyDescent="0.25"/>
    <row r="58" s="1" customFormat="1" ht="15" customHeight="1" x14ac:dyDescent="0.25"/>
    <row r="59" s="1" customFormat="1" ht="15" customHeight="1" x14ac:dyDescent="0.25"/>
    <row r="60" s="1" customFormat="1" ht="15" customHeight="1" x14ac:dyDescent="0.25"/>
    <row r="61" s="1" customFormat="1" ht="15" customHeight="1" x14ac:dyDescent="0.25"/>
    <row r="62" s="1" customFormat="1" ht="15" customHeight="1" x14ac:dyDescent="0.25"/>
    <row r="63" s="1" customFormat="1" ht="15" customHeight="1" x14ac:dyDescent="0.25"/>
    <row r="64" s="1" customFormat="1" ht="15" customHeight="1" x14ac:dyDescent="0.25"/>
    <row r="65" s="1" customFormat="1" ht="15" customHeight="1" x14ac:dyDescent="0.25"/>
    <row r="66" s="1" customFormat="1" ht="15" customHeight="1" x14ac:dyDescent="0.25"/>
    <row r="67" s="1" customFormat="1" ht="15" customHeight="1" x14ac:dyDescent="0.25"/>
    <row r="68" s="1" customFormat="1" ht="15" customHeight="1" x14ac:dyDescent="0.25"/>
    <row r="69" s="1" customFormat="1" ht="15" customHeight="1" x14ac:dyDescent="0.25"/>
    <row r="70" s="1" customFormat="1" ht="15" customHeight="1" x14ac:dyDescent="0.25"/>
    <row r="71" s="1" customFormat="1" ht="15" customHeight="1" x14ac:dyDescent="0.25"/>
    <row r="72" s="1" customFormat="1" ht="15" customHeight="1" x14ac:dyDescent="0.25"/>
    <row r="73" s="1" customFormat="1" ht="15" customHeight="1" x14ac:dyDescent="0.25"/>
    <row r="74" s="1" customFormat="1" ht="15" customHeight="1" x14ac:dyDescent="0.25"/>
    <row r="75" s="1" customFormat="1" ht="15" customHeight="1" x14ac:dyDescent="0.25"/>
    <row r="76" s="1" customFormat="1" ht="15" customHeight="1" x14ac:dyDescent="0.25"/>
    <row r="77" s="1" customFormat="1" ht="15" customHeight="1" x14ac:dyDescent="0.25"/>
    <row r="78" s="1" customFormat="1" ht="15" customHeight="1" x14ac:dyDescent="0.25"/>
    <row r="79" s="1" customFormat="1" ht="15" customHeight="1" x14ac:dyDescent="0.25"/>
    <row r="80" s="1" customFormat="1" ht="15" customHeight="1" x14ac:dyDescent="0.25"/>
    <row r="81" s="1" customFormat="1" ht="15" customHeight="1" x14ac:dyDescent="0.25"/>
    <row r="82" s="1" customFormat="1" ht="15" customHeight="1" x14ac:dyDescent="0.25"/>
    <row r="83" s="1" customFormat="1" ht="15" customHeight="1" x14ac:dyDescent="0.25"/>
    <row r="84" s="1" customFormat="1" ht="15" customHeight="1" x14ac:dyDescent="0.25"/>
    <row r="85" s="1" customFormat="1" ht="15" customHeight="1" x14ac:dyDescent="0.25"/>
    <row r="86" s="1" customFormat="1" ht="15" customHeight="1" x14ac:dyDescent="0.25"/>
  </sheetData>
  <mergeCells count="3">
    <mergeCell ref="A31:U31"/>
    <mergeCell ref="A33:U33"/>
    <mergeCell ref="V1:W1"/>
  </mergeCells>
  <conditionalFormatting sqref="A34 D34 G34 J34 M34 P34 S34">
    <cfRule type="cellIs" dxfId="7" priority="1" operator="between">
      <formula>0.05</formula>
      <formula>0.25</formula>
    </cfRule>
    <cfRule type="cellIs" dxfId="6" priority="2" operator="between">
      <formula>0.25</formula>
      <formula>1</formula>
    </cfRule>
    <cfRule type="cellIs" dxfId="5" priority="12" operator="between">
      <formula>0.01</formula>
      <formula>0.05</formula>
    </cfRule>
    <cfRule type="cellIs" dxfId="4" priority="13" operator="lessThan">
      <formula>0.01</formula>
    </cfRule>
  </conditionalFormatting>
  <conditionalFormatting sqref="D2:D30 G2:G30 J2:J30 M2:M30 P2:P30 S2:S30 A2:A30">
    <cfRule type="cellIs" dxfId="3" priority="3" operator="between">
      <formula>9.9</formula>
      <formula>10</formula>
    </cfRule>
    <cfRule type="cellIs" dxfId="2" priority="4" operator="between">
      <formula>0</formula>
      <formula>7.5</formula>
    </cfRule>
    <cfRule type="cellIs" dxfId="1" priority="5" operator="between">
      <formula>7.5</formula>
      <formula>9.5</formula>
    </cfRule>
    <cfRule type="cellIs" dxfId="0" priority="6" operator="between">
      <formula>9.5</formula>
      <formula>9.9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15200-0CA7-42CD-8C94-D18518993F7A}">
  <sheetPr codeName="Sheet3">
    <tabColor theme="0"/>
  </sheetPr>
  <dimension ref="A1:I7"/>
  <sheetViews>
    <sheetView workbookViewId="0">
      <selection activeCell="B33" sqref="B33"/>
    </sheetView>
  </sheetViews>
  <sheetFormatPr defaultRowHeight="15" x14ac:dyDescent="0.25"/>
  <cols>
    <col min="1" max="1" width="9.140625" style="5"/>
    <col min="2" max="2" width="18.7109375" style="7" customWidth="1"/>
    <col min="3" max="3" width="14.140625" style="6" customWidth="1"/>
    <col min="4" max="4" width="14" style="7" customWidth="1"/>
    <col min="5" max="5" width="17.140625" style="6" customWidth="1"/>
    <col min="6" max="6" width="24.42578125" style="8" customWidth="1"/>
    <col min="7" max="7" width="5" style="9" customWidth="1"/>
    <col min="8" max="8" width="19.42578125" style="3" customWidth="1"/>
    <col min="9" max="9" width="9.140625" style="4"/>
  </cols>
  <sheetData>
    <row r="1" spans="1:7" x14ac:dyDescent="0.25">
      <c r="A1" s="5" t="s">
        <v>62</v>
      </c>
      <c r="B1" s="7" t="s">
        <v>71</v>
      </c>
      <c r="C1" s="6" t="s">
        <v>62</v>
      </c>
      <c r="D1" s="7" t="s">
        <v>59</v>
      </c>
      <c r="E1" s="6" t="s">
        <v>62</v>
      </c>
      <c r="F1" s="7" t="s">
        <v>70</v>
      </c>
      <c r="G1" s="10"/>
    </row>
    <row r="2" spans="1:7" x14ac:dyDescent="0.25">
      <c r="A2" s="5" t="s">
        <v>60</v>
      </c>
      <c r="B2" s="7" t="str" cm="1">
        <f t="array" ref="B2:B5">_xlfn.UNIQUE(A2:A100)</f>
        <v>Bold</v>
      </c>
      <c r="C2" s="6" t="s">
        <v>63</v>
      </c>
      <c r="D2" s="7" t="str" cm="1">
        <f t="array" ref="D2:D5">_xlfn.UNIQUE(_xlfn._xlws.FILTER(C2:C100,C2:C100&lt;&gt;""))</f>
        <v>Green</v>
      </c>
      <c r="E2" s="6" t="s">
        <v>67</v>
      </c>
      <c r="F2" s="7" t="str" cm="1">
        <f t="array" ref="F2:F5">_xlfn.UNIQUE(_xlfn._xlws.FILTER(E:E,E:E&lt;&gt;""))</f>
        <v>Header</v>
      </c>
      <c r="G2" s="10"/>
    </row>
    <row r="3" spans="1:7" x14ac:dyDescent="0.25">
      <c r="A3" s="5" t="s">
        <v>61</v>
      </c>
      <c r="B3" s="7" t="str">
        <v>Bland</v>
      </c>
      <c r="C3" s="6" t="s">
        <v>54</v>
      </c>
      <c r="D3" s="7" t="str">
        <v>Black</v>
      </c>
      <c r="E3" s="6" t="s">
        <v>68</v>
      </c>
      <c r="F3" s="8" t="str">
        <v>Donkey</v>
      </c>
    </row>
    <row r="4" spans="1:7" x14ac:dyDescent="0.25">
      <c r="A4" s="5" t="s">
        <v>61</v>
      </c>
      <c r="B4" s="7" t="str">
        <v>Cool</v>
      </c>
      <c r="C4" s="6" t="s">
        <v>66</v>
      </c>
      <c r="D4" s="7" t="str">
        <v>Red</v>
      </c>
      <c r="E4" s="6" t="s">
        <v>69</v>
      </c>
      <c r="F4" s="8" t="str">
        <v>Ape</v>
      </c>
    </row>
    <row r="5" spans="1:7" x14ac:dyDescent="0.25">
      <c r="A5" s="5" t="s">
        <v>64</v>
      </c>
      <c r="B5" s="7">
        <v>0</v>
      </c>
      <c r="C5" s="6" t="s">
        <v>65</v>
      </c>
      <c r="D5" s="7" t="str">
        <v>Yellow</v>
      </c>
      <c r="E5" s="6" t="s">
        <v>69</v>
      </c>
      <c r="F5" s="8" t="str">
        <v>Dog</v>
      </c>
    </row>
    <row r="6" spans="1:7" x14ac:dyDescent="0.25">
      <c r="A6" s="5" t="s">
        <v>60</v>
      </c>
      <c r="C6" s="6" t="s">
        <v>66</v>
      </c>
      <c r="E6" s="6" t="s">
        <v>68</v>
      </c>
    </row>
    <row r="7" spans="1:7" x14ac:dyDescent="0.25">
      <c r="C7" s="6" t="s">
        <v>54</v>
      </c>
      <c r="E7" s="6" t="s">
        <v>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List</vt:lpstr>
      <vt:lpstr>Rarity</vt:lpstr>
      <vt:lpstr>Formulas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Willow</dc:creator>
  <cp:lastModifiedBy>Willow</cp:lastModifiedBy>
  <dcterms:created xsi:type="dcterms:W3CDTF">2022-09-04T09:03:36Z</dcterms:created>
  <dcterms:modified xsi:type="dcterms:W3CDTF">2022-09-05T06:11:07Z</dcterms:modified>
</cp:coreProperties>
</file>